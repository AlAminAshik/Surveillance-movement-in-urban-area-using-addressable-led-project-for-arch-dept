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amin\My Drive (alaminashik890.bd@gmail.com)\Skills and works\Componentkini.com\Projects\Surveillance-movement-in-urban-area-using-addressable-led-project-for-arch-dept\"/>
    </mc:Choice>
  </mc:AlternateContent>
  <xr:revisionPtr revIDLastSave="0" documentId="13_ncr:1_{5E93CE9F-125C-4D50-A2F2-276F923145F6}" xr6:coauthVersionLast="47" xr6:coauthVersionMax="47" xr10:uidLastSave="{00000000-0000-0000-0000-000000000000}"/>
  <bookViews>
    <workbookView xWindow="-14775" yWindow="-3240" windowWidth="13695" windowHeight="14670" activeTab="3" xr2:uid="{10375E1D-6E0D-4936-8284-410CB98155D0}"/>
  </bookViews>
  <sheets>
    <sheet name="Sheet1" sheetId="1" r:id="rId1"/>
    <sheet name="Model 1" sheetId="2" r:id="rId2"/>
    <sheet name="Model 2" sheetId="3" r:id="rId3"/>
    <sheet name="Model 3" sheetId="4" r:id="rId4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84" i="4" l="1"/>
  <c r="H85" i="4"/>
  <c r="H86" i="4"/>
  <c r="H87" i="4"/>
  <c r="H88" i="4"/>
  <c r="H89" i="4"/>
  <c r="H90" i="4"/>
  <c r="H91" i="4"/>
  <c r="H92" i="4"/>
  <c r="H93" i="4"/>
  <c r="H94" i="4"/>
  <c r="H95" i="4"/>
  <c r="H96" i="4"/>
  <c r="H97" i="4"/>
  <c r="G84" i="4"/>
  <c r="G85" i="4"/>
  <c r="G86" i="4"/>
  <c r="G87" i="4"/>
  <c r="G88" i="4"/>
  <c r="G89" i="4"/>
  <c r="G90" i="4"/>
  <c r="G91" i="4"/>
  <c r="G92" i="4"/>
  <c r="G93" i="4"/>
  <c r="G94" i="4"/>
  <c r="G95" i="4"/>
  <c r="G96" i="4"/>
  <c r="G97" i="4"/>
  <c r="H83" i="4"/>
  <c r="G83" i="4"/>
  <c r="H65" i="4"/>
  <c r="H66" i="4"/>
  <c r="H67" i="4"/>
  <c r="H68" i="4"/>
  <c r="H69" i="4"/>
  <c r="H70" i="4"/>
  <c r="H71" i="4"/>
  <c r="H72" i="4"/>
  <c r="H73" i="4"/>
  <c r="H74" i="4"/>
  <c r="H75" i="4"/>
  <c r="H76" i="4"/>
  <c r="H77" i="4"/>
  <c r="H64" i="4"/>
  <c r="G65" i="4"/>
  <c r="G66" i="4"/>
  <c r="G67" i="4"/>
  <c r="G68" i="4"/>
  <c r="G69" i="4"/>
  <c r="G70" i="4"/>
  <c r="G71" i="4"/>
  <c r="G72" i="4"/>
  <c r="G73" i="4"/>
  <c r="G74" i="4"/>
  <c r="G75" i="4"/>
  <c r="G76" i="4"/>
  <c r="G77" i="4"/>
  <c r="G78" i="4"/>
  <c r="G64" i="4"/>
  <c r="H46" i="4"/>
  <c r="H47" i="4"/>
  <c r="H48" i="4"/>
  <c r="H49" i="4"/>
  <c r="H50" i="4"/>
  <c r="H51" i="4"/>
  <c r="H52" i="4"/>
  <c r="H53" i="4"/>
  <c r="H54" i="4"/>
  <c r="H55" i="4"/>
  <c r="H56" i="4"/>
  <c r="H57" i="4"/>
  <c r="H58" i="4"/>
  <c r="H59" i="4"/>
  <c r="H45" i="4"/>
  <c r="G46" i="4"/>
  <c r="G47" i="4"/>
  <c r="G48" i="4"/>
  <c r="G49" i="4"/>
  <c r="G50" i="4"/>
  <c r="G51" i="4"/>
  <c r="G52" i="4"/>
  <c r="G53" i="4"/>
  <c r="G54" i="4"/>
  <c r="G55" i="4"/>
  <c r="G56" i="4"/>
  <c r="G57" i="4"/>
  <c r="G58" i="4"/>
  <c r="G59" i="4"/>
  <c r="H27" i="4"/>
  <c r="H28" i="4"/>
  <c r="H29" i="4"/>
  <c r="H30" i="4"/>
  <c r="H31" i="4"/>
  <c r="H32" i="4"/>
  <c r="H33" i="4"/>
  <c r="H34" i="4"/>
  <c r="H35" i="4"/>
  <c r="H36" i="4"/>
  <c r="H37" i="4"/>
  <c r="H38" i="4"/>
  <c r="H39" i="4"/>
  <c r="H26" i="4"/>
  <c r="G27" i="4"/>
  <c r="G28" i="4"/>
  <c r="G29" i="4"/>
  <c r="G30" i="4"/>
  <c r="G31" i="4"/>
  <c r="G32" i="4"/>
  <c r="G33" i="4"/>
  <c r="G34" i="4"/>
  <c r="G35" i="4"/>
  <c r="G36" i="4"/>
  <c r="G37" i="4"/>
  <c r="G38" i="4"/>
  <c r="G39" i="4"/>
  <c r="G40" i="4"/>
  <c r="G26" i="4"/>
  <c r="G45" i="4"/>
  <c r="C97" i="4"/>
  <c r="D97" i="4" s="1"/>
  <c r="C96" i="4"/>
  <c r="D96" i="4" s="1"/>
  <c r="C95" i="4"/>
  <c r="D95" i="4" s="1"/>
  <c r="C94" i="4"/>
  <c r="D94" i="4" s="1"/>
  <c r="C93" i="4"/>
  <c r="D93" i="4" s="1"/>
  <c r="C92" i="4"/>
  <c r="D92" i="4" s="1"/>
  <c r="C91" i="4"/>
  <c r="D91" i="4" s="1"/>
  <c r="C90" i="4"/>
  <c r="D90" i="4" s="1"/>
  <c r="C89" i="4"/>
  <c r="D89" i="4" s="1"/>
  <c r="C88" i="4"/>
  <c r="D88" i="4" s="1"/>
  <c r="C87" i="4"/>
  <c r="D87" i="4" s="1"/>
  <c r="C86" i="4"/>
  <c r="D86" i="4" s="1"/>
  <c r="C85" i="4"/>
  <c r="D85" i="4" s="1"/>
  <c r="C84" i="4"/>
  <c r="D84" i="4" s="1"/>
  <c r="E83" i="4"/>
  <c r="C83" i="4"/>
  <c r="D83" i="4" s="1"/>
  <c r="C82" i="4"/>
  <c r="D78" i="4"/>
  <c r="C78" i="4"/>
  <c r="C77" i="4"/>
  <c r="D77" i="4" s="1"/>
  <c r="C76" i="4"/>
  <c r="D76" i="4" s="1"/>
  <c r="D75" i="4"/>
  <c r="C75" i="4"/>
  <c r="C74" i="4"/>
  <c r="D74" i="4" s="1"/>
  <c r="C73" i="4"/>
  <c r="D73" i="4" s="1"/>
  <c r="D72" i="4"/>
  <c r="C72" i="4"/>
  <c r="C71" i="4"/>
  <c r="D71" i="4" s="1"/>
  <c r="C70" i="4"/>
  <c r="D70" i="4" s="1"/>
  <c r="D69" i="4"/>
  <c r="C69" i="4"/>
  <c r="C68" i="4"/>
  <c r="D68" i="4" s="1"/>
  <c r="C67" i="4"/>
  <c r="D67" i="4" s="1"/>
  <c r="D66" i="4"/>
  <c r="C66" i="4"/>
  <c r="C65" i="4"/>
  <c r="D65" i="4" s="1"/>
  <c r="E64" i="4"/>
  <c r="C64" i="4"/>
  <c r="D64" i="4" s="1"/>
  <c r="C63" i="4"/>
  <c r="C59" i="4"/>
  <c r="D59" i="4" s="1"/>
  <c r="C58" i="4"/>
  <c r="D58" i="4" s="1"/>
  <c r="C57" i="4"/>
  <c r="D57" i="4" s="1"/>
  <c r="C56" i="4"/>
  <c r="D56" i="4" s="1"/>
  <c r="C55" i="4"/>
  <c r="D55" i="4" s="1"/>
  <c r="C54" i="4"/>
  <c r="D54" i="4" s="1"/>
  <c r="C53" i="4"/>
  <c r="D53" i="4" s="1"/>
  <c r="C52" i="4"/>
  <c r="D52" i="4" s="1"/>
  <c r="C51" i="4"/>
  <c r="D51" i="4" s="1"/>
  <c r="C50" i="4"/>
  <c r="D50" i="4" s="1"/>
  <c r="C49" i="4"/>
  <c r="D49" i="4" s="1"/>
  <c r="C48" i="4"/>
  <c r="D48" i="4" s="1"/>
  <c r="C47" i="4"/>
  <c r="D47" i="4" s="1"/>
  <c r="C46" i="4"/>
  <c r="D46" i="4" s="1"/>
  <c r="E45" i="4"/>
  <c r="C45" i="4"/>
  <c r="D45" i="4" s="1"/>
  <c r="C44" i="4"/>
  <c r="C40" i="4"/>
  <c r="D40" i="4" s="1"/>
  <c r="C39" i="4"/>
  <c r="D39" i="4" s="1"/>
  <c r="C38" i="4"/>
  <c r="D38" i="4" s="1"/>
  <c r="C37" i="4"/>
  <c r="D37" i="4" s="1"/>
  <c r="C36" i="4"/>
  <c r="D36" i="4" s="1"/>
  <c r="C35" i="4"/>
  <c r="D35" i="4" s="1"/>
  <c r="C34" i="4"/>
  <c r="D34" i="4" s="1"/>
  <c r="C33" i="4"/>
  <c r="D33" i="4" s="1"/>
  <c r="C32" i="4"/>
  <c r="D32" i="4" s="1"/>
  <c r="C31" i="4"/>
  <c r="D31" i="4" s="1"/>
  <c r="C30" i="4"/>
  <c r="D30" i="4" s="1"/>
  <c r="C29" i="4"/>
  <c r="D29" i="4" s="1"/>
  <c r="C28" i="4"/>
  <c r="D28" i="4" s="1"/>
  <c r="C27" i="4"/>
  <c r="D27" i="4" s="1"/>
  <c r="E26" i="4"/>
  <c r="C26" i="4"/>
  <c r="D26" i="4" s="1"/>
  <c r="C25" i="4"/>
  <c r="F21" i="4"/>
  <c r="F20" i="4"/>
  <c r="E21" i="4" s="1"/>
  <c r="F19" i="4"/>
  <c r="F18" i="4"/>
  <c r="F17" i="4"/>
  <c r="F16" i="4"/>
  <c r="F15" i="4"/>
  <c r="F12" i="4"/>
  <c r="F7" i="4"/>
  <c r="F14" i="4"/>
  <c r="E17" i="4"/>
  <c r="E18" i="4"/>
  <c r="E19" i="4"/>
  <c r="E20" i="4"/>
  <c r="E14" i="4"/>
  <c r="E15" i="4"/>
  <c r="E16" i="4"/>
  <c r="D14" i="4"/>
  <c r="D15" i="4"/>
  <c r="D16" i="4"/>
  <c r="D17" i="4"/>
  <c r="D18" i="4"/>
  <c r="D19" i="4"/>
  <c r="D20" i="4"/>
  <c r="D21" i="4"/>
  <c r="C14" i="4"/>
  <c r="C15" i="4"/>
  <c r="C16" i="4"/>
  <c r="C17" i="4"/>
  <c r="C18" i="4"/>
  <c r="C19" i="4"/>
  <c r="C20" i="4"/>
  <c r="C21" i="4"/>
  <c r="H47" i="3"/>
  <c r="H48" i="3"/>
  <c r="H49" i="3"/>
  <c r="H50" i="3"/>
  <c r="H51" i="3"/>
  <c r="H52" i="3"/>
  <c r="H53" i="3"/>
  <c r="H46" i="3"/>
  <c r="G47" i="3"/>
  <c r="G48" i="3"/>
  <c r="G49" i="3"/>
  <c r="G50" i="3"/>
  <c r="G51" i="3"/>
  <c r="G52" i="3"/>
  <c r="G53" i="3"/>
  <c r="G54" i="3"/>
  <c r="G46" i="3"/>
  <c r="H34" i="3"/>
  <c r="H35" i="3"/>
  <c r="H36" i="3"/>
  <c r="H37" i="3"/>
  <c r="H38" i="3"/>
  <c r="H39" i="3"/>
  <c r="H40" i="3"/>
  <c r="H41" i="3"/>
  <c r="H33" i="3"/>
  <c r="G34" i="3"/>
  <c r="G35" i="3"/>
  <c r="G36" i="3"/>
  <c r="G37" i="3"/>
  <c r="G38" i="3"/>
  <c r="G39" i="3"/>
  <c r="G40" i="3"/>
  <c r="G41" i="3"/>
  <c r="G33" i="3"/>
  <c r="H21" i="3"/>
  <c r="H22" i="3"/>
  <c r="H23" i="3"/>
  <c r="H24" i="3"/>
  <c r="H25" i="3"/>
  <c r="H26" i="3"/>
  <c r="H27" i="3"/>
  <c r="H20" i="3"/>
  <c r="G21" i="3"/>
  <c r="G22" i="3"/>
  <c r="G23" i="3"/>
  <c r="G24" i="3"/>
  <c r="G25" i="3"/>
  <c r="G26" i="3"/>
  <c r="G27" i="3"/>
  <c r="G28" i="3"/>
  <c r="G20" i="3"/>
  <c r="C13" i="4"/>
  <c r="D13" i="4" s="1"/>
  <c r="C12" i="4"/>
  <c r="D12" i="4" s="1"/>
  <c r="C11" i="4"/>
  <c r="D11" i="4" s="1"/>
  <c r="C10" i="4"/>
  <c r="D10" i="4" s="1"/>
  <c r="C9" i="4"/>
  <c r="D9" i="4" s="1"/>
  <c r="C8" i="4"/>
  <c r="D8" i="4" s="1"/>
  <c r="E7" i="4"/>
  <c r="C7" i="4"/>
  <c r="D7" i="4" s="1"/>
  <c r="C6" i="4"/>
  <c r="C54" i="3"/>
  <c r="D54" i="3" s="1"/>
  <c r="C53" i="3"/>
  <c r="D53" i="3" s="1"/>
  <c r="C52" i="3"/>
  <c r="D52" i="3" s="1"/>
  <c r="C51" i="3"/>
  <c r="D51" i="3" s="1"/>
  <c r="C50" i="3"/>
  <c r="D50" i="3" s="1"/>
  <c r="C49" i="3"/>
  <c r="D49" i="3" s="1"/>
  <c r="C48" i="3"/>
  <c r="D48" i="3" s="1"/>
  <c r="C47" i="3"/>
  <c r="D47" i="3" s="1"/>
  <c r="F51" i="3" s="1"/>
  <c r="E52" i="3" s="1"/>
  <c r="E46" i="3"/>
  <c r="C46" i="3"/>
  <c r="D46" i="3" s="1"/>
  <c r="C45" i="3"/>
  <c r="C41" i="3"/>
  <c r="D41" i="3" s="1"/>
  <c r="C40" i="3"/>
  <c r="D40" i="3" s="1"/>
  <c r="C39" i="3"/>
  <c r="D39" i="3" s="1"/>
  <c r="C38" i="3"/>
  <c r="D38" i="3" s="1"/>
  <c r="C37" i="3"/>
  <c r="D37" i="3" s="1"/>
  <c r="C36" i="3"/>
  <c r="D36" i="3" s="1"/>
  <c r="C35" i="3"/>
  <c r="D35" i="3" s="1"/>
  <c r="C34" i="3"/>
  <c r="D34" i="3" s="1"/>
  <c r="F38" i="3" s="1"/>
  <c r="E39" i="3" s="1"/>
  <c r="E33" i="3"/>
  <c r="C33" i="3"/>
  <c r="D33" i="3" s="1"/>
  <c r="C32" i="3"/>
  <c r="C28" i="3"/>
  <c r="D28" i="3" s="1"/>
  <c r="C27" i="3"/>
  <c r="D27" i="3" s="1"/>
  <c r="C26" i="3"/>
  <c r="D26" i="3" s="1"/>
  <c r="C25" i="3"/>
  <c r="D25" i="3" s="1"/>
  <c r="C24" i="3"/>
  <c r="D24" i="3" s="1"/>
  <c r="C23" i="3"/>
  <c r="D23" i="3" s="1"/>
  <c r="C22" i="3"/>
  <c r="D22" i="3" s="1"/>
  <c r="C21" i="3"/>
  <c r="D21" i="3" s="1"/>
  <c r="E20" i="3"/>
  <c r="C20" i="3"/>
  <c r="D20" i="3" s="1"/>
  <c r="C19" i="3"/>
  <c r="D9" i="3"/>
  <c r="F9" i="3" s="1"/>
  <c r="E10" i="3" s="1"/>
  <c r="C9" i="3"/>
  <c r="C10" i="3"/>
  <c r="D10" i="3" s="1"/>
  <c r="C11" i="3"/>
  <c r="D11" i="3" s="1"/>
  <c r="C12" i="3"/>
  <c r="D12" i="3" s="1"/>
  <c r="C13" i="3"/>
  <c r="D13" i="3" s="1"/>
  <c r="C14" i="3"/>
  <c r="D14" i="3" s="1"/>
  <c r="C15" i="3"/>
  <c r="D15" i="3" s="1"/>
  <c r="C8" i="3"/>
  <c r="D8" i="3" s="1"/>
  <c r="E7" i="3"/>
  <c r="C7" i="3"/>
  <c r="D7" i="3" s="1"/>
  <c r="C6" i="3"/>
  <c r="D24" i="2"/>
  <c r="D8" i="2"/>
  <c r="D7" i="2"/>
  <c r="C34" i="2"/>
  <c r="D34" i="2" s="1"/>
  <c r="C33" i="2"/>
  <c r="D33" i="2" s="1"/>
  <c r="C32" i="2"/>
  <c r="D32" i="2" s="1"/>
  <c r="C31" i="2"/>
  <c r="D31" i="2" s="1"/>
  <c r="E30" i="2"/>
  <c r="C30" i="2"/>
  <c r="D30" i="2" s="1"/>
  <c r="C29" i="2"/>
  <c r="C8" i="2"/>
  <c r="E7" i="2"/>
  <c r="C7" i="2"/>
  <c r="C6" i="2"/>
  <c r="C25" i="2"/>
  <c r="D25" i="2" s="1"/>
  <c r="C24" i="2"/>
  <c r="E23" i="2"/>
  <c r="C23" i="2"/>
  <c r="D23" i="2" s="1"/>
  <c r="C22" i="2"/>
  <c r="E13" i="2"/>
  <c r="C14" i="2"/>
  <c r="D14" i="2" s="1"/>
  <c r="C15" i="2"/>
  <c r="D15" i="2" s="1"/>
  <c r="C16" i="2"/>
  <c r="D16" i="2" s="1"/>
  <c r="C17" i="2"/>
  <c r="D17" i="2" s="1"/>
  <c r="C18" i="2"/>
  <c r="D18" i="2" s="1"/>
  <c r="C13" i="2"/>
  <c r="D13" i="2" s="1"/>
  <c r="C12" i="2"/>
  <c r="F97" i="4" l="1"/>
  <c r="F94" i="4"/>
  <c r="E95" i="4" s="1"/>
  <c r="F91" i="4"/>
  <c r="E92" i="4" s="1"/>
  <c r="F88" i="4"/>
  <c r="E89" i="4" s="1"/>
  <c r="F85" i="4"/>
  <c r="E86" i="4" s="1"/>
  <c r="F96" i="4"/>
  <c r="E97" i="4" s="1"/>
  <c r="F93" i="4"/>
  <c r="E94" i="4" s="1"/>
  <c r="F90" i="4"/>
  <c r="E91" i="4" s="1"/>
  <c r="F87" i="4"/>
  <c r="E88" i="4" s="1"/>
  <c r="F84" i="4"/>
  <c r="E85" i="4" s="1"/>
  <c r="F95" i="4"/>
  <c r="E96" i="4" s="1"/>
  <c r="F92" i="4"/>
  <c r="E93" i="4" s="1"/>
  <c r="F89" i="4"/>
  <c r="E90" i="4" s="1"/>
  <c r="F86" i="4"/>
  <c r="E87" i="4" s="1"/>
  <c r="F83" i="4"/>
  <c r="E84" i="4" s="1"/>
  <c r="F78" i="4"/>
  <c r="F75" i="4"/>
  <c r="E76" i="4" s="1"/>
  <c r="F72" i="4"/>
  <c r="E73" i="4" s="1"/>
  <c r="F69" i="4"/>
  <c r="E70" i="4" s="1"/>
  <c r="F66" i="4"/>
  <c r="E67" i="4" s="1"/>
  <c r="F73" i="4"/>
  <c r="E74" i="4" s="1"/>
  <c r="F64" i="4"/>
  <c r="E65" i="4" s="1"/>
  <c r="F76" i="4"/>
  <c r="E77" i="4" s="1"/>
  <c r="F67" i="4"/>
  <c r="E68" i="4" s="1"/>
  <c r="F77" i="4"/>
  <c r="E78" i="4" s="1"/>
  <c r="F74" i="4"/>
  <c r="E75" i="4" s="1"/>
  <c r="F71" i="4"/>
  <c r="E72" i="4" s="1"/>
  <c r="F68" i="4"/>
  <c r="E69" i="4" s="1"/>
  <c r="F65" i="4"/>
  <c r="E66" i="4" s="1"/>
  <c r="F70" i="4"/>
  <c r="E71" i="4" s="1"/>
  <c r="F59" i="4"/>
  <c r="F56" i="4"/>
  <c r="E57" i="4" s="1"/>
  <c r="F53" i="4"/>
  <c r="E54" i="4" s="1"/>
  <c r="F50" i="4"/>
  <c r="E51" i="4" s="1"/>
  <c r="F47" i="4"/>
  <c r="E48" i="4" s="1"/>
  <c r="F55" i="4"/>
  <c r="E56" i="4" s="1"/>
  <c r="F52" i="4"/>
  <c r="E53" i="4" s="1"/>
  <c r="F49" i="4"/>
  <c r="E50" i="4" s="1"/>
  <c r="F54" i="4"/>
  <c r="E55" i="4" s="1"/>
  <c r="F48" i="4"/>
  <c r="E49" i="4" s="1"/>
  <c r="F58" i="4"/>
  <c r="E59" i="4" s="1"/>
  <c r="F46" i="4"/>
  <c r="E47" i="4" s="1"/>
  <c r="F57" i="4"/>
  <c r="E58" i="4" s="1"/>
  <c r="F45" i="4"/>
  <c r="E46" i="4" s="1"/>
  <c r="F51" i="4"/>
  <c r="E52" i="4" s="1"/>
  <c r="F40" i="4"/>
  <c r="F37" i="4"/>
  <c r="E38" i="4" s="1"/>
  <c r="F34" i="4"/>
  <c r="E35" i="4" s="1"/>
  <c r="F31" i="4"/>
  <c r="E32" i="4" s="1"/>
  <c r="F28" i="4"/>
  <c r="E29" i="4" s="1"/>
  <c r="F39" i="4"/>
  <c r="E40" i="4" s="1"/>
  <c r="F33" i="4"/>
  <c r="E34" i="4" s="1"/>
  <c r="F30" i="4"/>
  <c r="E31" i="4" s="1"/>
  <c r="F27" i="4"/>
  <c r="E28" i="4" s="1"/>
  <c r="F38" i="4"/>
  <c r="E39" i="4" s="1"/>
  <c r="F32" i="4"/>
  <c r="E33" i="4" s="1"/>
  <c r="F26" i="4"/>
  <c r="E27" i="4" s="1"/>
  <c r="F36" i="4"/>
  <c r="E37" i="4" s="1"/>
  <c r="F35" i="4"/>
  <c r="E36" i="4" s="1"/>
  <c r="F29" i="4"/>
  <c r="E30" i="4" s="1"/>
  <c r="E13" i="4"/>
  <c r="F13" i="2"/>
  <c r="E14" i="2" s="1"/>
  <c r="F15" i="3"/>
  <c r="E8" i="4"/>
  <c r="F9" i="4"/>
  <c r="E10" i="4" s="1"/>
  <c r="F11" i="4"/>
  <c r="E12" i="4" s="1"/>
  <c r="F8" i="4"/>
  <c r="E9" i="4" s="1"/>
  <c r="F13" i="4"/>
  <c r="F10" i="4"/>
  <c r="E11" i="4" s="1"/>
  <c r="F12" i="3"/>
  <c r="E13" i="3" s="1"/>
  <c r="F11" i="3"/>
  <c r="E12" i="3" s="1"/>
  <c r="F13" i="3"/>
  <c r="E14" i="3" s="1"/>
  <c r="F10" i="3"/>
  <c r="E11" i="3" s="1"/>
  <c r="F14" i="3"/>
  <c r="E15" i="3" s="1"/>
  <c r="F54" i="3"/>
  <c r="F48" i="3"/>
  <c r="E49" i="3" s="1"/>
  <c r="F53" i="3"/>
  <c r="E54" i="3" s="1"/>
  <c r="F47" i="3"/>
  <c r="E48" i="3" s="1"/>
  <c r="F49" i="3"/>
  <c r="E50" i="3" s="1"/>
  <c r="F46" i="3"/>
  <c r="E47" i="3" s="1"/>
  <c r="F50" i="3"/>
  <c r="E51" i="3" s="1"/>
  <c r="F52" i="3"/>
  <c r="E53" i="3" s="1"/>
  <c r="F41" i="3"/>
  <c r="F35" i="3"/>
  <c r="E36" i="3" s="1"/>
  <c r="F37" i="3"/>
  <c r="E38" i="3" s="1"/>
  <c r="F34" i="3"/>
  <c r="E35" i="3" s="1"/>
  <c r="F36" i="3"/>
  <c r="E37" i="3" s="1"/>
  <c r="F40" i="3"/>
  <c r="E41" i="3" s="1"/>
  <c r="F39" i="3"/>
  <c r="E40" i="3" s="1"/>
  <c r="F33" i="3"/>
  <c r="E34" i="3" s="1"/>
  <c r="F25" i="3"/>
  <c r="E26" i="3" s="1"/>
  <c r="F26" i="3"/>
  <c r="E27" i="3" s="1"/>
  <c r="F27" i="3"/>
  <c r="E28" i="3" s="1"/>
  <c r="F24" i="3"/>
  <c r="E25" i="3" s="1"/>
  <c r="F21" i="3"/>
  <c r="E22" i="3" s="1"/>
  <c r="F23" i="3"/>
  <c r="E24" i="3" s="1"/>
  <c r="F20" i="3"/>
  <c r="E21" i="3" s="1"/>
  <c r="F28" i="3"/>
  <c r="F22" i="3"/>
  <c r="E23" i="3" s="1"/>
  <c r="F7" i="3"/>
  <c r="E8" i="3" s="1"/>
  <c r="F8" i="3"/>
  <c r="E9" i="3" s="1"/>
  <c r="F32" i="2"/>
  <c r="E33" i="2" s="1"/>
  <c r="F34" i="2"/>
  <c r="F33" i="2"/>
  <c r="E34" i="2" s="1"/>
  <c r="F31" i="2"/>
  <c r="E32" i="2" s="1"/>
  <c r="F30" i="2"/>
  <c r="E31" i="2" s="1"/>
  <c r="F18" i="2"/>
  <c r="F15" i="2"/>
  <c r="E16" i="2" s="1"/>
  <c r="F16" i="2"/>
  <c r="E17" i="2" s="1"/>
  <c r="F17" i="2"/>
  <c r="E18" i="2" s="1"/>
  <c r="F14" i="2"/>
  <c r="E15" i="2" s="1"/>
  <c r="F8" i="2"/>
  <c r="F7" i="2"/>
  <c r="E8" i="2" s="1"/>
  <c r="F25" i="2"/>
  <c r="F23" i="2"/>
  <c r="E24" i="2" s="1"/>
  <c r="F24" i="2"/>
  <c r="E25" i="2" s="1"/>
</calcChain>
</file>

<file path=xl/sharedStrings.xml><?xml version="1.0" encoding="utf-8"?>
<sst xmlns="http://schemas.openxmlformats.org/spreadsheetml/2006/main" count="186" uniqueCount="49">
  <si>
    <t>Addressable led calculator for project</t>
  </si>
  <si>
    <t>There are two types of LED strips for WS2812B:</t>
  </si>
  <si>
    <t>1. 30 leds/m</t>
  </si>
  <si>
    <t>2. 60 leds/m (has more dense LEDs)</t>
  </si>
  <si>
    <t>Model 1</t>
  </si>
  <si>
    <t>Strip name</t>
  </si>
  <si>
    <t>length</t>
  </si>
  <si>
    <t>cumulative length</t>
  </si>
  <si>
    <t>leds needed</t>
  </si>
  <si>
    <t>led address Lower bound</t>
  </si>
  <si>
    <t>led address upper bound</t>
  </si>
  <si>
    <t>Start</t>
  </si>
  <si>
    <t>Stop 1</t>
  </si>
  <si>
    <t>exit</t>
  </si>
  <si>
    <t>Stop 2</t>
  </si>
  <si>
    <t>Stop 3</t>
  </si>
  <si>
    <t>Stop 4</t>
  </si>
  <si>
    <t>Stop 5</t>
  </si>
  <si>
    <t>Green strip 1 (39.5" or 63.2leds)</t>
  </si>
  <si>
    <t>Red strip 1 (77.5" or 124 leds)</t>
  </si>
  <si>
    <t>Red strip 2 (38.5" or 61.6 leds)</t>
  </si>
  <si>
    <t>Blue strip 1 (66" or 105.6 leds)</t>
  </si>
  <si>
    <t>On a 5m roll, each 5 inch of strip contains 8 LEDs.</t>
  </si>
  <si>
    <t>Model 2</t>
  </si>
  <si>
    <t>Red strip (62.5" or 100leds)</t>
  </si>
  <si>
    <t>Stop 6</t>
  </si>
  <si>
    <t>Stop 7</t>
  </si>
  <si>
    <t>Stop 8</t>
  </si>
  <si>
    <t>Green strip (62.5" or 100leds)</t>
  </si>
  <si>
    <t>Model 3</t>
  </si>
  <si>
    <t>Red strip (88.5" or 142leds)</t>
  </si>
  <si>
    <t>Orange strip (62.5" or 100leds) same line as blue strip</t>
  </si>
  <si>
    <t>Blue strip (62.5" or 100leds) same line as orange strip</t>
  </si>
  <si>
    <t>3 strips</t>
  </si>
  <si>
    <t>4 strips</t>
  </si>
  <si>
    <t>updated upper bound</t>
  </si>
  <si>
    <t>updated Lower bound</t>
  </si>
  <si>
    <t>Stop 9</t>
  </si>
  <si>
    <t>Stop 10</t>
  </si>
  <si>
    <t>Stop 11</t>
  </si>
  <si>
    <t>Stop 12</t>
  </si>
  <si>
    <t>Stop 13</t>
  </si>
  <si>
    <t>Stop 14</t>
  </si>
  <si>
    <t>modified Lower bound</t>
  </si>
  <si>
    <t>modified upper bound</t>
  </si>
  <si>
    <t>Purple strip (88.5" or 142leds) (same strip as blue)</t>
  </si>
  <si>
    <t>Blue strip (88.5" or 142leds) same strip as purple</t>
  </si>
  <si>
    <t>Green strip (88.5" or 142leds) same strip as yellow</t>
  </si>
  <si>
    <t>Yellow strip (88.5" or 142leds) same strip as green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</si>
</sst>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0" fillId="0" borderId="0" xfId="0" applyAlignment="1">
      <alignment horizontal="left" vertical="top"/>
    </xf>
    <xf numFmtId="0" fontId="0" fillId="0" borderId="0" xfId="0" applyAlignment="1">
      <alignment vertical="top"/>
    </xf>
    <xf numFmtId="0" fontId="0" fillId="0" borderId="0" xfId="0" applyAlignment="1">
      <alignment horizontal="left" vertical="center" wrapText="1"/>
    </xf>
    <xf numFmtId="1" fontId="0" fillId="0" borderId="0" xfId="0" applyNumberFormat="1"/>
    <xf numFmtId="0" fontId="1" fillId="0" borderId="0" xfId="0" applyFont="1" applyAlignment="1">
      <alignment horizontal="left" vertical="top"/>
    </xf>
    <xf numFmtId="1" fontId="0" fillId="0" borderId="0" xfId="0" applyNumberFormat="1" applyAlignment="1">
      <alignment vertical="top"/>
    </xf>
    <xf numFmtId="0" fontId="2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left" vertical="top"/>
    </xf>
    <xf numFmtId="0" fontId="0" fillId="0" borderId="1" xfId="0" applyBorder="1" applyAlignment="1">
      <alignment vertical="top"/>
    </xf>
    <xf numFmtId="1" fontId="0" fillId="0" borderId="1" xfId="0" applyNumberFormat="1" applyBorder="1" applyAlignment="1">
      <alignment vertical="top"/>
    </xf>
    <xf numFmtId="0" fontId="1" fillId="0" borderId="0" xfId="0" applyFont="1" applyAlignment="1">
      <alignment horizontal="center"/>
    </xf>
    <xf numFmtId="0" fontId="0" fillId="0" borderId="2" xfId="0" applyFill="1" applyBorder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7B47EA-5C89-4F37-BEB9-A34E96E5391C}">
  <dimension ref="A1:A7"/>
  <sheetViews>
    <sheetView workbookViewId="0">
      <selection activeCell="A8" sqref="A8"/>
    </sheetView>
  </sheetViews>
  <sheetFormatPr defaultRowHeight="14.5" x14ac:dyDescent="0.35"/>
  <sheetData>
    <row r="1" spans="1:1" x14ac:dyDescent="0.35">
      <c r="A1" t="s">
        <v>0</v>
      </c>
    </row>
    <row r="3" spans="1:1" x14ac:dyDescent="0.35">
      <c r="A3" t="s">
        <v>1</v>
      </c>
    </row>
    <row r="4" spans="1:1" x14ac:dyDescent="0.35">
      <c r="A4" t="s">
        <v>2</v>
      </c>
    </row>
    <row r="5" spans="1:1" x14ac:dyDescent="0.35">
      <c r="A5" t="s">
        <v>3</v>
      </c>
    </row>
    <row r="7" spans="1:1" x14ac:dyDescent="0.35">
      <c r="A7" t="s">
        <v>22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2DA184-DC02-4AD2-809F-9B3FE336D34F}">
  <dimension ref="A1:F144"/>
  <sheetViews>
    <sheetView workbookViewId="0">
      <selection activeCell="A3" sqref="A3"/>
    </sheetView>
  </sheetViews>
  <sheetFormatPr defaultRowHeight="14.5" x14ac:dyDescent="0.35"/>
  <cols>
    <col min="1" max="1" width="10.08984375" customWidth="1"/>
    <col min="2" max="2" width="10.26953125" customWidth="1"/>
    <col min="3" max="3" width="7.08984375" customWidth="1"/>
    <col min="4" max="4" width="10.90625" customWidth="1"/>
    <col min="5" max="5" width="12.1796875" customWidth="1"/>
    <col min="6" max="6" width="12.6328125" customWidth="1"/>
  </cols>
  <sheetData>
    <row r="1" spans="1:6" x14ac:dyDescent="0.35">
      <c r="A1" s="1" t="s">
        <v>4</v>
      </c>
    </row>
    <row r="2" spans="1:6" x14ac:dyDescent="0.35">
      <c r="A2" s="1" t="s">
        <v>34</v>
      </c>
    </row>
    <row r="4" spans="1:6" s="4" customFormat="1" ht="28.5" customHeight="1" x14ac:dyDescent="0.35">
      <c r="A4" s="8" t="s">
        <v>5</v>
      </c>
      <c r="B4" s="8" t="s">
        <v>7</v>
      </c>
      <c r="C4" s="8" t="s">
        <v>6</v>
      </c>
      <c r="D4" s="8" t="s">
        <v>8</v>
      </c>
      <c r="E4" s="8" t="s">
        <v>9</v>
      </c>
      <c r="F4" s="8" t="s">
        <v>10</v>
      </c>
    </row>
    <row r="5" spans="1:6" x14ac:dyDescent="0.35">
      <c r="A5" s="12" t="s">
        <v>18</v>
      </c>
      <c r="B5" s="12"/>
      <c r="C5" s="12"/>
      <c r="D5" s="12"/>
      <c r="E5" s="12"/>
      <c r="F5" s="12"/>
    </row>
    <row r="6" spans="1:6" s="2" customFormat="1" x14ac:dyDescent="0.35">
      <c r="A6" s="9" t="s">
        <v>11</v>
      </c>
      <c r="B6" s="10">
        <v>0</v>
      </c>
      <c r="C6" s="10">
        <f>B6</f>
        <v>0</v>
      </c>
      <c r="D6" s="10">
        <v>0</v>
      </c>
      <c r="E6" s="10">
        <v>0</v>
      </c>
      <c r="F6" s="11">
        <v>0</v>
      </c>
    </row>
    <row r="7" spans="1:6" s="2" customFormat="1" x14ac:dyDescent="0.35">
      <c r="A7" s="9" t="s">
        <v>12</v>
      </c>
      <c r="B7" s="10">
        <v>32</v>
      </c>
      <c r="C7" s="10">
        <f>B7-B6</f>
        <v>32</v>
      </c>
      <c r="D7" s="10">
        <f>(C7/5)*8</f>
        <v>51.2</v>
      </c>
      <c r="E7" s="11">
        <f>F6+1</f>
        <v>1</v>
      </c>
      <c r="F7" s="11">
        <f>SUM(D6,D7)</f>
        <v>51.2</v>
      </c>
    </row>
    <row r="8" spans="1:6" x14ac:dyDescent="0.35">
      <c r="A8" s="9" t="s">
        <v>13</v>
      </c>
      <c r="B8" s="10">
        <v>39.5</v>
      </c>
      <c r="C8" s="10">
        <f t="shared" ref="C8" si="0">B8-B7</f>
        <v>7.5</v>
      </c>
      <c r="D8" s="10">
        <f>(C8/5)*8</f>
        <v>12</v>
      </c>
      <c r="E8" s="11">
        <f t="shared" ref="E8" si="1">F7+1</f>
        <v>52.2</v>
      </c>
      <c r="F8" s="11">
        <f>SUM(D6:D7,D8)</f>
        <v>63.2</v>
      </c>
    </row>
    <row r="9" spans="1:6" x14ac:dyDescent="0.35">
      <c r="A9" s="6"/>
      <c r="B9" s="3"/>
      <c r="C9" s="3"/>
      <c r="D9" s="3"/>
      <c r="E9" s="7"/>
      <c r="F9" s="7"/>
    </row>
    <row r="10" spans="1:6" x14ac:dyDescent="0.35">
      <c r="A10" s="6"/>
      <c r="B10" s="3"/>
      <c r="C10" s="3"/>
      <c r="D10" s="3"/>
      <c r="E10" s="7"/>
      <c r="F10" s="7"/>
    </row>
    <row r="11" spans="1:6" x14ac:dyDescent="0.35">
      <c r="A11" s="12" t="s">
        <v>19</v>
      </c>
      <c r="B11" s="12"/>
      <c r="C11" s="12"/>
      <c r="D11" s="12"/>
      <c r="E11" s="12"/>
      <c r="F11" s="12"/>
    </row>
    <row r="12" spans="1:6" x14ac:dyDescent="0.35">
      <c r="A12" s="9" t="s">
        <v>11</v>
      </c>
      <c r="B12" s="10">
        <v>0</v>
      </c>
      <c r="C12" s="10">
        <f>B12</f>
        <v>0</v>
      </c>
      <c r="D12" s="10">
        <v>0</v>
      </c>
      <c r="E12" s="10">
        <v>0</v>
      </c>
      <c r="F12" s="11">
        <v>0</v>
      </c>
    </row>
    <row r="13" spans="1:6" x14ac:dyDescent="0.35">
      <c r="A13" s="9" t="s">
        <v>12</v>
      </c>
      <c r="B13" s="10">
        <v>19.5</v>
      </c>
      <c r="C13" s="10">
        <f>B13-B12</f>
        <v>19.5</v>
      </c>
      <c r="D13" s="10">
        <f>(C13/5)*8</f>
        <v>31.2</v>
      </c>
      <c r="E13" s="11">
        <f>F12+1</f>
        <v>1</v>
      </c>
      <c r="F13" s="11">
        <f>SUM(D12,D13)</f>
        <v>31.2</v>
      </c>
    </row>
    <row r="14" spans="1:6" x14ac:dyDescent="0.35">
      <c r="A14" s="9" t="s">
        <v>14</v>
      </c>
      <c r="B14" s="10">
        <v>28.5</v>
      </c>
      <c r="C14" s="10">
        <f t="shared" ref="C14:C18" si="2">B14-B13</f>
        <v>9</v>
      </c>
      <c r="D14" s="10">
        <f t="shared" ref="D14:D18" si="3">(C14/5)*8</f>
        <v>14.4</v>
      </c>
      <c r="E14" s="11">
        <f t="shared" ref="E14:E18" si="4">F13+1</f>
        <v>32.200000000000003</v>
      </c>
      <c r="F14" s="11">
        <f>SUM(D12:D13,D14)</f>
        <v>45.6</v>
      </c>
    </row>
    <row r="15" spans="1:6" x14ac:dyDescent="0.35">
      <c r="A15" s="9" t="s">
        <v>15</v>
      </c>
      <c r="B15" s="10">
        <v>40</v>
      </c>
      <c r="C15" s="10">
        <f t="shared" si="2"/>
        <v>11.5</v>
      </c>
      <c r="D15" s="10">
        <f t="shared" si="3"/>
        <v>18.399999999999999</v>
      </c>
      <c r="E15" s="11">
        <f t="shared" si="4"/>
        <v>46.6</v>
      </c>
      <c r="F15" s="11">
        <f>SUM(D12:D14,D15)</f>
        <v>64</v>
      </c>
    </row>
    <row r="16" spans="1:6" x14ac:dyDescent="0.35">
      <c r="A16" s="9" t="s">
        <v>16</v>
      </c>
      <c r="B16" s="10">
        <v>48.5</v>
      </c>
      <c r="C16" s="10">
        <f t="shared" si="2"/>
        <v>8.5</v>
      </c>
      <c r="D16" s="10">
        <f t="shared" si="3"/>
        <v>13.6</v>
      </c>
      <c r="E16" s="11">
        <f t="shared" si="4"/>
        <v>65</v>
      </c>
      <c r="F16" s="11">
        <f>SUM(D12:D15,D16)</f>
        <v>77.599999999999994</v>
      </c>
    </row>
    <row r="17" spans="1:6" x14ac:dyDescent="0.35">
      <c r="A17" s="9" t="s">
        <v>17</v>
      </c>
      <c r="B17" s="10">
        <v>67.5</v>
      </c>
      <c r="C17" s="10">
        <f t="shared" si="2"/>
        <v>19</v>
      </c>
      <c r="D17" s="10">
        <f t="shared" si="3"/>
        <v>30.4</v>
      </c>
      <c r="E17" s="11">
        <f t="shared" si="4"/>
        <v>78.599999999999994</v>
      </c>
      <c r="F17" s="11">
        <f>SUM(D12:D16,D17)</f>
        <v>108</v>
      </c>
    </row>
    <row r="18" spans="1:6" x14ac:dyDescent="0.35">
      <c r="A18" s="9" t="s">
        <v>13</v>
      </c>
      <c r="B18" s="10">
        <v>77.5</v>
      </c>
      <c r="C18" s="10">
        <f t="shared" si="2"/>
        <v>10</v>
      </c>
      <c r="D18" s="10">
        <f t="shared" si="3"/>
        <v>16</v>
      </c>
      <c r="E18" s="11">
        <f t="shared" si="4"/>
        <v>109</v>
      </c>
      <c r="F18" s="11">
        <f>SUM(D12:D17,D18)</f>
        <v>124</v>
      </c>
    </row>
    <row r="19" spans="1:6" x14ac:dyDescent="0.35">
      <c r="A19" s="6"/>
      <c r="F19" s="5"/>
    </row>
    <row r="20" spans="1:6" x14ac:dyDescent="0.35">
      <c r="F20" s="5"/>
    </row>
    <row r="21" spans="1:6" x14ac:dyDescent="0.35">
      <c r="A21" s="12" t="s">
        <v>20</v>
      </c>
      <c r="B21" s="12"/>
      <c r="C21" s="12"/>
      <c r="D21" s="12"/>
      <c r="E21" s="12"/>
      <c r="F21" s="12"/>
    </row>
    <row r="22" spans="1:6" x14ac:dyDescent="0.35">
      <c r="A22" s="9" t="s">
        <v>11</v>
      </c>
      <c r="B22" s="10">
        <v>0</v>
      </c>
      <c r="C22" s="10">
        <f>B22</f>
        <v>0</v>
      </c>
      <c r="D22" s="10">
        <v>0</v>
      </c>
      <c r="E22" s="10">
        <v>0</v>
      </c>
      <c r="F22" s="11">
        <v>0</v>
      </c>
    </row>
    <row r="23" spans="1:6" x14ac:dyDescent="0.35">
      <c r="A23" s="9" t="s">
        <v>12</v>
      </c>
      <c r="B23" s="10">
        <v>9.5</v>
      </c>
      <c r="C23" s="10">
        <f>B23-B22</f>
        <v>9.5</v>
      </c>
      <c r="D23" s="10">
        <f>(C23/5)*8</f>
        <v>15.2</v>
      </c>
      <c r="E23" s="11">
        <f>F22+1</f>
        <v>1</v>
      </c>
      <c r="F23" s="11">
        <f>SUM(D22,D23)</f>
        <v>15.2</v>
      </c>
    </row>
    <row r="24" spans="1:6" x14ac:dyDescent="0.35">
      <c r="A24" s="9" t="s">
        <v>14</v>
      </c>
      <c r="B24" s="10">
        <v>19.5</v>
      </c>
      <c r="C24" s="10">
        <f t="shared" ref="C24:C25" si="5">B24-B23</f>
        <v>10</v>
      </c>
      <c r="D24" s="10">
        <f t="shared" ref="D24:D25" si="6">(C24/5)*8</f>
        <v>16</v>
      </c>
      <c r="E24" s="11">
        <f t="shared" ref="E24:E25" si="7">F23+1</f>
        <v>16.2</v>
      </c>
      <c r="F24" s="11">
        <f>SUM(D22:D23,D24)</f>
        <v>31.2</v>
      </c>
    </row>
    <row r="25" spans="1:6" x14ac:dyDescent="0.35">
      <c r="A25" s="9" t="s">
        <v>13</v>
      </c>
      <c r="B25" s="10">
        <v>38.5</v>
      </c>
      <c r="C25" s="10">
        <f t="shared" si="5"/>
        <v>19</v>
      </c>
      <c r="D25" s="10">
        <f t="shared" si="6"/>
        <v>30.4</v>
      </c>
      <c r="E25" s="11">
        <f t="shared" si="7"/>
        <v>32.200000000000003</v>
      </c>
      <c r="F25" s="11">
        <f>SUM(D22:D24,D25)</f>
        <v>61.599999999999994</v>
      </c>
    </row>
    <row r="26" spans="1:6" x14ac:dyDescent="0.35">
      <c r="A26" s="6"/>
      <c r="B26" s="3"/>
      <c r="C26" s="3"/>
      <c r="D26" s="3"/>
      <c r="E26" s="7"/>
      <c r="F26" s="7"/>
    </row>
    <row r="27" spans="1:6" x14ac:dyDescent="0.35">
      <c r="A27" s="6"/>
      <c r="B27" s="3"/>
      <c r="C27" s="3"/>
      <c r="D27" s="3"/>
      <c r="E27" s="7"/>
      <c r="F27" s="7"/>
    </row>
    <row r="28" spans="1:6" x14ac:dyDescent="0.35">
      <c r="A28" s="12" t="s">
        <v>21</v>
      </c>
      <c r="B28" s="12"/>
      <c r="C28" s="12"/>
      <c r="D28" s="12"/>
      <c r="E28" s="12"/>
      <c r="F28" s="12"/>
    </row>
    <row r="29" spans="1:6" x14ac:dyDescent="0.35">
      <c r="A29" s="9" t="s">
        <v>11</v>
      </c>
      <c r="B29" s="10">
        <v>0</v>
      </c>
      <c r="C29" s="10">
        <f>B29</f>
        <v>0</v>
      </c>
      <c r="D29" s="10">
        <v>0</v>
      </c>
      <c r="E29" s="10">
        <v>0</v>
      </c>
      <c r="F29" s="11">
        <v>0</v>
      </c>
    </row>
    <row r="30" spans="1:6" x14ac:dyDescent="0.35">
      <c r="A30" s="9" t="s">
        <v>12</v>
      </c>
      <c r="B30" s="10">
        <v>25</v>
      </c>
      <c r="C30" s="10">
        <f>B30-B29</f>
        <v>25</v>
      </c>
      <c r="D30" s="10">
        <f>(C30/5)*8</f>
        <v>40</v>
      </c>
      <c r="E30" s="11">
        <f>F29+1</f>
        <v>1</v>
      </c>
      <c r="F30" s="11">
        <f>SUM(D29,D30)</f>
        <v>40</v>
      </c>
    </row>
    <row r="31" spans="1:6" x14ac:dyDescent="0.35">
      <c r="A31" s="9" t="s">
        <v>14</v>
      </c>
      <c r="B31" s="10">
        <v>32.5</v>
      </c>
      <c r="C31" s="10">
        <f t="shared" ref="C31:C34" si="8">B31-B30</f>
        <v>7.5</v>
      </c>
      <c r="D31" s="10">
        <f t="shared" ref="D31:D34" si="9">(C31/5)*8</f>
        <v>12</v>
      </c>
      <c r="E31" s="11">
        <f t="shared" ref="E31:E34" si="10">F30+1</f>
        <v>41</v>
      </c>
      <c r="F31" s="11">
        <f>SUM(D29:D30,D31)</f>
        <v>52</v>
      </c>
    </row>
    <row r="32" spans="1:6" x14ac:dyDescent="0.35">
      <c r="A32" s="9" t="s">
        <v>15</v>
      </c>
      <c r="B32" s="10">
        <v>44</v>
      </c>
      <c r="C32" s="10">
        <f t="shared" si="8"/>
        <v>11.5</v>
      </c>
      <c r="D32" s="10">
        <f t="shared" si="9"/>
        <v>18.399999999999999</v>
      </c>
      <c r="E32" s="11">
        <f t="shared" si="10"/>
        <v>53</v>
      </c>
      <c r="F32" s="11">
        <f>SUM(D29:D31,D32)</f>
        <v>70.400000000000006</v>
      </c>
    </row>
    <row r="33" spans="1:6" x14ac:dyDescent="0.35">
      <c r="A33" s="9" t="s">
        <v>16</v>
      </c>
      <c r="B33" s="10">
        <v>55.5</v>
      </c>
      <c r="C33" s="10">
        <f t="shared" si="8"/>
        <v>11.5</v>
      </c>
      <c r="D33" s="10">
        <f t="shared" si="9"/>
        <v>18.399999999999999</v>
      </c>
      <c r="E33" s="11">
        <f t="shared" si="10"/>
        <v>71.400000000000006</v>
      </c>
      <c r="F33" s="11">
        <f>SUM(D29:D32,D33)</f>
        <v>88.800000000000011</v>
      </c>
    </row>
    <row r="34" spans="1:6" x14ac:dyDescent="0.35">
      <c r="A34" s="9" t="s">
        <v>13</v>
      </c>
      <c r="B34" s="10">
        <v>66</v>
      </c>
      <c r="C34" s="10">
        <f t="shared" si="8"/>
        <v>10.5</v>
      </c>
      <c r="D34" s="10">
        <f t="shared" si="9"/>
        <v>16.8</v>
      </c>
      <c r="E34" s="11">
        <f t="shared" si="10"/>
        <v>89.800000000000011</v>
      </c>
      <c r="F34" s="11">
        <f>SUM(D29:D33,D34)</f>
        <v>105.60000000000001</v>
      </c>
    </row>
    <row r="35" spans="1:6" x14ac:dyDescent="0.35">
      <c r="A35" s="6"/>
      <c r="F35" s="5"/>
    </row>
    <row r="36" spans="1:6" x14ac:dyDescent="0.35">
      <c r="F36" s="5"/>
    </row>
    <row r="37" spans="1:6" x14ac:dyDescent="0.35">
      <c r="F37" s="5"/>
    </row>
    <row r="38" spans="1:6" x14ac:dyDescent="0.35">
      <c r="F38" s="5"/>
    </row>
    <row r="39" spans="1:6" x14ac:dyDescent="0.35">
      <c r="F39" s="5"/>
    </row>
    <row r="40" spans="1:6" x14ac:dyDescent="0.35">
      <c r="F40" s="5"/>
    </row>
    <row r="41" spans="1:6" x14ac:dyDescent="0.35">
      <c r="F41" s="5"/>
    </row>
    <row r="42" spans="1:6" x14ac:dyDescent="0.35">
      <c r="F42" s="5"/>
    </row>
    <row r="43" spans="1:6" x14ac:dyDescent="0.35">
      <c r="F43" s="5"/>
    </row>
    <row r="44" spans="1:6" x14ac:dyDescent="0.35">
      <c r="F44" s="5"/>
    </row>
    <row r="45" spans="1:6" x14ac:dyDescent="0.35">
      <c r="F45" s="5"/>
    </row>
    <row r="46" spans="1:6" x14ac:dyDescent="0.35">
      <c r="F46" s="5"/>
    </row>
    <row r="47" spans="1:6" x14ac:dyDescent="0.35">
      <c r="F47" s="5"/>
    </row>
    <row r="48" spans="1:6" x14ac:dyDescent="0.35">
      <c r="F48" s="5"/>
    </row>
    <row r="49" spans="6:6" x14ac:dyDescent="0.35">
      <c r="F49" s="5"/>
    </row>
    <row r="50" spans="6:6" x14ac:dyDescent="0.35">
      <c r="F50" s="5"/>
    </row>
    <row r="51" spans="6:6" x14ac:dyDescent="0.35">
      <c r="F51" s="5"/>
    </row>
    <row r="52" spans="6:6" x14ac:dyDescent="0.35">
      <c r="F52" s="5"/>
    </row>
    <row r="53" spans="6:6" x14ac:dyDescent="0.35">
      <c r="F53" s="5"/>
    </row>
    <row r="54" spans="6:6" x14ac:dyDescent="0.35">
      <c r="F54" s="5"/>
    </row>
    <row r="55" spans="6:6" x14ac:dyDescent="0.35">
      <c r="F55" s="5"/>
    </row>
    <row r="56" spans="6:6" x14ac:dyDescent="0.35">
      <c r="F56" s="5"/>
    </row>
    <row r="57" spans="6:6" x14ac:dyDescent="0.35">
      <c r="F57" s="5"/>
    </row>
    <row r="58" spans="6:6" x14ac:dyDescent="0.35">
      <c r="F58" s="5"/>
    </row>
    <row r="59" spans="6:6" x14ac:dyDescent="0.35">
      <c r="F59" s="5"/>
    </row>
    <row r="60" spans="6:6" x14ac:dyDescent="0.35">
      <c r="F60" s="5"/>
    </row>
    <row r="61" spans="6:6" x14ac:dyDescent="0.35">
      <c r="F61" s="5"/>
    </row>
    <row r="62" spans="6:6" x14ac:dyDescent="0.35">
      <c r="F62" s="5"/>
    </row>
    <row r="63" spans="6:6" x14ac:dyDescent="0.35">
      <c r="F63" s="5"/>
    </row>
    <row r="64" spans="6:6" x14ac:dyDescent="0.35">
      <c r="F64" s="5"/>
    </row>
    <row r="65" spans="6:6" x14ac:dyDescent="0.35">
      <c r="F65" s="5"/>
    </row>
    <row r="66" spans="6:6" x14ac:dyDescent="0.35">
      <c r="F66" s="5"/>
    </row>
    <row r="67" spans="6:6" x14ac:dyDescent="0.35">
      <c r="F67" s="5"/>
    </row>
    <row r="68" spans="6:6" x14ac:dyDescent="0.35">
      <c r="F68" s="5"/>
    </row>
    <row r="69" spans="6:6" x14ac:dyDescent="0.35">
      <c r="F69" s="5"/>
    </row>
    <row r="70" spans="6:6" x14ac:dyDescent="0.35">
      <c r="F70" s="5"/>
    </row>
    <row r="71" spans="6:6" x14ac:dyDescent="0.35">
      <c r="F71" s="5"/>
    </row>
    <row r="72" spans="6:6" x14ac:dyDescent="0.35">
      <c r="F72" s="5"/>
    </row>
    <row r="73" spans="6:6" x14ac:dyDescent="0.35">
      <c r="F73" s="5"/>
    </row>
    <row r="74" spans="6:6" x14ac:dyDescent="0.35">
      <c r="F74" s="5"/>
    </row>
    <row r="75" spans="6:6" x14ac:dyDescent="0.35">
      <c r="F75" s="5"/>
    </row>
    <row r="76" spans="6:6" x14ac:dyDescent="0.35">
      <c r="F76" s="5"/>
    </row>
    <row r="77" spans="6:6" x14ac:dyDescent="0.35">
      <c r="F77" s="5"/>
    </row>
    <row r="78" spans="6:6" x14ac:dyDescent="0.35">
      <c r="F78" s="5"/>
    </row>
    <row r="79" spans="6:6" x14ac:dyDescent="0.35">
      <c r="F79" s="5"/>
    </row>
    <row r="80" spans="6:6" x14ac:dyDescent="0.35">
      <c r="F80" s="5"/>
    </row>
    <row r="81" spans="6:6" x14ac:dyDescent="0.35">
      <c r="F81" s="5"/>
    </row>
    <row r="82" spans="6:6" x14ac:dyDescent="0.35">
      <c r="F82" s="5"/>
    </row>
    <row r="83" spans="6:6" x14ac:dyDescent="0.35">
      <c r="F83" s="5"/>
    </row>
    <row r="84" spans="6:6" x14ac:dyDescent="0.35">
      <c r="F84" s="5"/>
    </row>
    <row r="85" spans="6:6" x14ac:dyDescent="0.35">
      <c r="F85" s="5"/>
    </row>
    <row r="86" spans="6:6" x14ac:dyDescent="0.35">
      <c r="F86" s="5"/>
    </row>
    <row r="87" spans="6:6" x14ac:dyDescent="0.35">
      <c r="F87" s="5"/>
    </row>
    <row r="88" spans="6:6" x14ac:dyDescent="0.35">
      <c r="F88" s="5"/>
    </row>
    <row r="89" spans="6:6" x14ac:dyDescent="0.35">
      <c r="F89" s="5"/>
    </row>
    <row r="90" spans="6:6" x14ac:dyDescent="0.35">
      <c r="F90" s="5"/>
    </row>
    <row r="91" spans="6:6" x14ac:dyDescent="0.35">
      <c r="F91" s="5"/>
    </row>
    <row r="92" spans="6:6" x14ac:dyDescent="0.35">
      <c r="F92" s="5"/>
    </row>
    <row r="93" spans="6:6" x14ac:dyDescent="0.35">
      <c r="F93" s="5"/>
    </row>
    <row r="94" spans="6:6" x14ac:dyDescent="0.35">
      <c r="F94" s="5"/>
    </row>
    <row r="95" spans="6:6" x14ac:dyDescent="0.35">
      <c r="F95" s="5"/>
    </row>
    <row r="96" spans="6:6" x14ac:dyDescent="0.35">
      <c r="F96" s="5"/>
    </row>
    <row r="97" spans="6:6" x14ac:dyDescent="0.35">
      <c r="F97" s="5"/>
    </row>
    <row r="98" spans="6:6" x14ac:dyDescent="0.35">
      <c r="F98" s="5"/>
    </row>
    <row r="99" spans="6:6" x14ac:dyDescent="0.35">
      <c r="F99" s="5"/>
    </row>
    <row r="100" spans="6:6" x14ac:dyDescent="0.35">
      <c r="F100" s="5"/>
    </row>
    <row r="101" spans="6:6" x14ac:dyDescent="0.35">
      <c r="F101" s="5"/>
    </row>
    <row r="102" spans="6:6" x14ac:dyDescent="0.35">
      <c r="F102" s="5"/>
    </row>
    <row r="103" spans="6:6" x14ac:dyDescent="0.35">
      <c r="F103" s="5"/>
    </row>
    <row r="104" spans="6:6" x14ac:dyDescent="0.35">
      <c r="F104" s="5"/>
    </row>
    <row r="105" spans="6:6" x14ac:dyDescent="0.35">
      <c r="F105" s="5"/>
    </row>
    <row r="106" spans="6:6" x14ac:dyDescent="0.35">
      <c r="F106" s="5"/>
    </row>
    <row r="107" spans="6:6" x14ac:dyDescent="0.35">
      <c r="F107" s="5"/>
    </row>
    <row r="108" spans="6:6" x14ac:dyDescent="0.35">
      <c r="F108" s="5"/>
    </row>
    <row r="109" spans="6:6" x14ac:dyDescent="0.35">
      <c r="F109" s="5"/>
    </row>
    <row r="110" spans="6:6" x14ac:dyDescent="0.35">
      <c r="F110" s="5"/>
    </row>
    <row r="111" spans="6:6" x14ac:dyDescent="0.35">
      <c r="F111" s="5"/>
    </row>
    <row r="112" spans="6:6" x14ac:dyDescent="0.35">
      <c r="F112" s="5"/>
    </row>
    <row r="113" spans="6:6" x14ac:dyDescent="0.35">
      <c r="F113" s="5"/>
    </row>
    <row r="114" spans="6:6" x14ac:dyDescent="0.35">
      <c r="F114" s="5"/>
    </row>
    <row r="115" spans="6:6" x14ac:dyDescent="0.35">
      <c r="F115" s="5"/>
    </row>
    <row r="116" spans="6:6" x14ac:dyDescent="0.35">
      <c r="F116" s="5"/>
    </row>
    <row r="117" spans="6:6" x14ac:dyDescent="0.35">
      <c r="F117" s="5"/>
    </row>
    <row r="118" spans="6:6" x14ac:dyDescent="0.35">
      <c r="F118" s="5"/>
    </row>
    <row r="119" spans="6:6" x14ac:dyDescent="0.35">
      <c r="F119" s="5"/>
    </row>
    <row r="120" spans="6:6" x14ac:dyDescent="0.35">
      <c r="F120" s="5"/>
    </row>
    <row r="121" spans="6:6" x14ac:dyDescent="0.35">
      <c r="F121" s="5"/>
    </row>
    <row r="122" spans="6:6" x14ac:dyDescent="0.35">
      <c r="F122" s="5"/>
    </row>
    <row r="123" spans="6:6" x14ac:dyDescent="0.35">
      <c r="F123" s="5"/>
    </row>
    <row r="124" spans="6:6" x14ac:dyDescent="0.35">
      <c r="F124" s="5"/>
    </row>
    <row r="125" spans="6:6" x14ac:dyDescent="0.35">
      <c r="F125" s="5"/>
    </row>
    <row r="126" spans="6:6" x14ac:dyDescent="0.35">
      <c r="F126" s="5"/>
    </row>
    <row r="127" spans="6:6" x14ac:dyDescent="0.35">
      <c r="F127" s="5"/>
    </row>
    <row r="128" spans="6:6" x14ac:dyDescent="0.35">
      <c r="F128" s="5"/>
    </row>
    <row r="129" spans="6:6" x14ac:dyDescent="0.35">
      <c r="F129" s="5"/>
    </row>
    <row r="130" spans="6:6" x14ac:dyDescent="0.35">
      <c r="F130" s="5"/>
    </row>
    <row r="131" spans="6:6" x14ac:dyDescent="0.35">
      <c r="F131" s="5"/>
    </row>
    <row r="132" spans="6:6" x14ac:dyDescent="0.35">
      <c r="F132" s="5"/>
    </row>
    <row r="133" spans="6:6" x14ac:dyDescent="0.35">
      <c r="F133" s="5"/>
    </row>
    <row r="134" spans="6:6" x14ac:dyDescent="0.35">
      <c r="F134" s="5"/>
    </row>
    <row r="135" spans="6:6" x14ac:dyDescent="0.35">
      <c r="F135" s="5"/>
    </row>
    <row r="136" spans="6:6" x14ac:dyDescent="0.35">
      <c r="F136" s="5"/>
    </row>
    <row r="137" spans="6:6" x14ac:dyDescent="0.35">
      <c r="F137" s="5"/>
    </row>
    <row r="138" spans="6:6" x14ac:dyDescent="0.35">
      <c r="F138" s="5"/>
    </row>
    <row r="139" spans="6:6" x14ac:dyDescent="0.35">
      <c r="F139" s="5"/>
    </row>
    <row r="140" spans="6:6" x14ac:dyDescent="0.35">
      <c r="F140" s="5"/>
    </row>
    <row r="141" spans="6:6" x14ac:dyDescent="0.35">
      <c r="F141" s="5"/>
    </row>
    <row r="142" spans="6:6" x14ac:dyDescent="0.35">
      <c r="F142" s="5"/>
    </row>
    <row r="143" spans="6:6" x14ac:dyDescent="0.35">
      <c r="F143" s="5"/>
    </row>
    <row r="144" spans="6:6" x14ac:dyDescent="0.35">
      <c r="F144" s="5"/>
    </row>
  </sheetData>
  <mergeCells count="4">
    <mergeCell ref="A5:F5"/>
    <mergeCell ref="A11:F11"/>
    <mergeCell ref="A21:F21"/>
    <mergeCell ref="A28:F28"/>
  </mergeCells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1A5987-D048-4D84-9A86-4F9A96103B06}">
  <dimension ref="A1:I152"/>
  <sheetViews>
    <sheetView workbookViewId="0">
      <selection activeCell="H25" sqref="H25"/>
    </sheetView>
  </sheetViews>
  <sheetFormatPr defaultRowHeight="14.5" x14ac:dyDescent="0.35"/>
  <cols>
    <col min="1" max="1" width="10.08984375" customWidth="1"/>
    <col min="2" max="2" width="10.26953125" customWidth="1"/>
    <col min="3" max="3" width="7.08984375" customWidth="1"/>
    <col min="4" max="4" width="10.90625" customWidth="1"/>
    <col min="5" max="5" width="12.1796875" customWidth="1"/>
    <col min="6" max="6" width="12.6328125" customWidth="1"/>
    <col min="7" max="7" width="12.36328125" customWidth="1"/>
    <col min="8" max="8" width="12.08984375" customWidth="1"/>
  </cols>
  <sheetData>
    <row r="1" spans="1:8" x14ac:dyDescent="0.35">
      <c r="A1" s="1" t="s">
        <v>23</v>
      </c>
    </row>
    <row r="2" spans="1:8" x14ac:dyDescent="0.35">
      <c r="A2" s="1" t="s">
        <v>33</v>
      </c>
    </row>
    <row r="4" spans="1:8" s="4" customFormat="1" ht="28.5" customHeight="1" x14ac:dyDescent="0.35">
      <c r="A4" s="8" t="s">
        <v>5</v>
      </c>
      <c r="B4" s="8" t="s">
        <v>7</v>
      </c>
      <c r="C4" s="8" t="s">
        <v>6</v>
      </c>
      <c r="D4" s="8" t="s">
        <v>8</v>
      </c>
      <c r="E4" s="8" t="s">
        <v>9</v>
      </c>
      <c r="F4" s="8" t="s">
        <v>10</v>
      </c>
      <c r="G4" s="8" t="s">
        <v>36</v>
      </c>
      <c r="H4" s="8" t="s">
        <v>35</v>
      </c>
    </row>
    <row r="5" spans="1:8" x14ac:dyDescent="0.35">
      <c r="A5" s="12" t="s">
        <v>24</v>
      </c>
      <c r="B5" s="12"/>
      <c r="C5" s="12"/>
      <c r="D5" s="12"/>
      <c r="E5" s="12"/>
      <c r="F5" s="12"/>
    </row>
    <row r="6" spans="1:8" s="2" customFormat="1" x14ac:dyDescent="0.35">
      <c r="A6" s="9" t="s">
        <v>11</v>
      </c>
      <c r="B6" s="10">
        <v>0</v>
      </c>
      <c r="C6" s="10">
        <f>B6</f>
        <v>0</v>
      </c>
      <c r="D6" s="10">
        <v>0</v>
      </c>
      <c r="E6" s="10">
        <v>0</v>
      </c>
      <c r="F6" s="11">
        <v>0</v>
      </c>
    </row>
    <row r="7" spans="1:8" s="2" customFormat="1" x14ac:dyDescent="0.35">
      <c r="A7" s="9" t="s">
        <v>12</v>
      </c>
      <c r="B7" s="10">
        <v>1.5</v>
      </c>
      <c r="C7" s="10">
        <f>B7-B6</f>
        <v>1.5</v>
      </c>
      <c r="D7" s="10">
        <f>(C7/5)*8</f>
        <v>2.4</v>
      </c>
      <c r="E7" s="11">
        <f>F6+1</f>
        <v>1</v>
      </c>
      <c r="F7" s="11">
        <f>SUM(D6,D7)</f>
        <v>2.4</v>
      </c>
    </row>
    <row r="8" spans="1:8" x14ac:dyDescent="0.35">
      <c r="A8" s="9" t="s">
        <v>14</v>
      </c>
      <c r="B8" s="10">
        <v>6.5</v>
      </c>
      <c r="C8" s="10">
        <f t="shared" ref="C8:C15" si="0">B8-B7</f>
        <v>5</v>
      </c>
      <c r="D8" s="10">
        <f>(C8/5)*8</f>
        <v>8</v>
      </c>
      <c r="E8" s="11">
        <f t="shared" ref="E8:E15" si="1">F7+1</f>
        <v>3.4</v>
      </c>
      <c r="F8" s="11">
        <f>SUM(D6:D7,D8)</f>
        <v>10.4</v>
      </c>
    </row>
    <row r="9" spans="1:8" x14ac:dyDescent="0.35">
      <c r="A9" s="9" t="s">
        <v>15</v>
      </c>
      <c r="B9" s="10">
        <v>12</v>
      </c>
      <c r="C9" s="10">
        <f t="shared" si="0"/>
        <v>5.5</v>
      </c>
      <c r="D9" s="10">
        <f t="shared" ref="D9:D15" si="2">(C9/5)*8</f>
        <v>8.8000000000000007</v>
      </c>
      <c r="E9" s="11">
        <f t="shared" si="1"/>
        <v>11.4</v>
      </c>
      <c r="F9" s="11">
        <f>SUM(D6:D8,D9)</f>
        <v>19.200000000000003</v>
      </c>
    </row>
    <row r="10" spans="1:8" x14ac:dyDescent="0.35">
      <c r="A10" s="9" t="s">
        <v>16</v>
      </c>
      <c r="B10" s="10">
        <v>16</v>
      </c>
      <c r="C10" s="10">
        <f t="shared" si="0"/>
        <v>4</v>
      </c>
      <c r="D10" s="10">
        <f t="shared" si="2"/>
        <v>6.4</v>
      </c>
      <c r="E10" s="11">
        <f t="shared" si="1"/>
        <v>20.200000000000003</v>
      </c>
      <c r="F10" s="11">
        <f>SUM(D6:D9,D10)</f>
        <v>25.6</v>
      </c>
    </row>
    <row r="11" spans="1:8" x14ac:dyDescent="0.35">
      <c r="A11" s="9" t="s">
        <v>17</v>
      </c>
      <c r="B11" s="10">
        <v>24.5</v>
      </c>
      <c r="C11" s="10">
        <f t="shared" si="0"/>
        <v>8.5</v>
      </c>
      <c r="D11" s="10">
        <f t="shared" si="2"/>
        <v>13.6</v>
      </c>
      <c r="E11" s="11">
        <f t="shared" si="1"/>
        <v>26.6</v>
      </c>
      <c r="F11" s="11">
        <f>SUM(D6:D10,D11)</f>
        <v>39.200000000000003</v>
      </c>
    </row>
    <row r="12" spans="1:8" x14ac:dyDescent="0.35">
      <c r="A12" s="9" t="s">
        <v>25</v>
      </c>
      <c r="B12" s="10">
        <v>39</v>
      </c>
      <c r="C12" s="10">
        <f t="shared" si="0"/>
        <v>14.5</v>
      </c>
      <c r="D12" s="10">
        <f t="shared" si="2"/>
        <v>23.2</v>
      </c>
      <c r="E12" s="11">
        <f t="shared" si="1"/>
        <v>40.200000000000003</v>
      </c>
      <c r="F12" s="11">
        <f t="shared" ref="F12" si="3">SUM(D8:D11,D12)</f>
        <v>60</v>
      </c>
    </row>
    <row r="13" spans="1:8" x14ac:dyDescent="0.35">
      <c r="A13" s="9" t="s">
        <v>26</v>
      </c>
      <c r="B13" s="10">
        <v>48.5</v>
      </c>
      <c r="C13" s="10">
        <f t="shared" si="0"/>
        <v>9.5</v>
      </c>
      <c r="D13" s="10">
        <f t="shared" si="2"/>
        <v>15.2</v>
      </c>
      <c r="E13" s="11">
        <f t="shared" si="1"/>
        <v>61</v>
      </c>
      <c r="F13" s="11">
        <f>SUM(D6:D12,D13)</f>
        <v>77.600000000000009</v>
      </c>
    </row>
    <row r="14" spans="1:8" x14ac:dyDescent="0.35">
      <c r="A14" s="9" t="s">
        <v>27</v>
      </c>
      <c r="B14" s="10">
        <v>55.5</v>
      </c>
      <c r="C14" s="10">
        <f t="shared" si="0"/>
        <v>7</v>
      </c>
      <c r="D14" s="10">
        <f t="shared" si="2"/>
        <v>11.2</v>
      </c>
      <c r="E14" s="11">
        <f t="shared" si="1"/>
        <v>78.600000000000009</v>
      </c>
      <c r="F14" s="11">
        <f>SUM(D6:D13,D14)</f>
        <v>88.800000000000011</v>
      </c>
    </row>
    <row r="15" spans="1:8" x14ac:dyDescent="0.35">
      <c r="A15" s="9" t="s">
        <v>13</v>
      </c>
      <c r="B15" s="10">
        <v>62.5</v>
      </c>
      <c r="C15" s="10">
        <f t="shared" si="0"/>
        <v>7</v>
      </c>
      <c r="D15" s="10">
        <f t="shared" si="2"/>
        <v>11.2</v>
      </c>
      <c r="E15" s="11">
        <f t="shared" si="1"/>
        <v>89.800000000000011</v>
      </c>
      <c r="F15" s="11">
        <f>SUM(D6:D14,D15)</f>
        <v>100.00000000000001</v>
      </c>
    </row>
    <row r="16" spans="1:8" x14ac:dyDescent="0.35">
      <c r="A16" s="6"/>
      <c r="B16" s="3"/>
      <c r="C16" s="3"/>
      <c r="D16" s="3"/>
      <c r="E16" s="7"/>
      <c r="F16" s="7"/>
    </row>
    <row r="17" spans="1:9" x14ac:dyDescent="0.35">
      <c r="A17" s="6"/>
      <c r="B17" s="3"/>
      <c r="C17" s="3"/>
      <c r="D17" s="3"/>
      <c r="E17" s="7"/>
      <c r="F17" s="7"/>
    </row>
    <row r="18" spans="1:9" x14ac:dyDescent="0.35">
      <c r="A18" s="12" t="s">
        <v>28</v>
      </c>
      <c r="B18" s="12"/>
      <c r="C18" s="12"/>
      <c r="D18" s="12"/>
      <c r="E18" s="12"/>
      <c r="F18" s="12"/>
    </row>
    <row r="19" spans="1:9" x14ac:dyDescent="0.35">
      <c r="A19" s="9" t="s">
        <v>11</v>
      </c>
      <c r="B19" s="10">
        <v>0</v>
      </c>
      <c r="C19" s="10">
        <f>B19</f>
        <v>0</v>
      </c>
      <c r="D19" s="10">
        <v>0</v>
      </c>
      <c r="E19" s="10">
        <v>0</v>
      </c>
      <c r="F19" s="11">
        <v>0</v>
      </c>
      <c r="G19" s="13">
        <v>0</v>
      </c>
      <c r="H19" s="13">
        <v>0</v>
      </c>
      <c r="I19" s="13">
        <v>2</v>
      </c>
    </row>
    <row r="20" spans="1:9" x14ac:dyDescent="0.35">
      <c r="A20" s="9" t="s">
        <v>12</v>
      </c>
      <c r="B20" s="10">
        <v>1.5</v>
      </c>
      <c r="C20" s="10">
        <f>B20-B19</f>
        <v>1.5</v>
      </c>
      <c r="D20" s="10">
        <f>(C20/5)*8</f>
        <v>2.4</v>
      </c>
      <c r="E20" s="11">
        <f>F19+1</f>
        <v>1</v>
      </c>
      <c r="F20" s="11">
        <f>SUM(D19,D20)</f>
        <v>2.4</v>
      </c>
      <c r="G20" s="5">
        <f>E20+2</f>
        <v>3</v>
      </c>
      <c r="H20" s="5">
        <f>F20+2</f>
        <v>4.4000000000000004</v>
      </c>
    </row>
    <row r="21" spans="1:9" x14ac:dyDescent="0.35">
      <c r="A21" s="9" t="s">
        <v>14</v>
      </c>
      <c r="B21" s="10">
        <v>6.5</v>
      </c>
      <c r="C21" s="10">
        <f t="shared" ref="C21:C28" si="4">B21-B20</f>
        <v>5</v>
      </c>
      <c r="D21" s="10">
        <f>(C21/5)*8</f>
        <v>8</v>
      </c>
      <c r="E21" s="11">
        <f t="shared" ref="E21:E28" si="5">F20+1</f>
        <v>3.4</v>
      </c>
      <c r="F21" s="11">
        <f>SUM(D19:D20,D21)</f>
        <v>10.4</v>
      </c>
      <c r="G21" s="5">
        <f t="shared" ref="G21:G28" si="6">E21+2</f>
        <v>5.4</v>
      </c>
      <c r="H21" s="5">
        <f t="shared" ref="H21:H28" si="7">F21+2</f>
        <v>12.4</v>
      </c>
    </row>
    <row r="22" spans="1:9" x14ac:dyDescent="0.35">
      <c r="A22" s="9" t="s">
        <v>15</v>
      </c>
      <c r="B22" s="10">
        <v>12</v>
      </c>
      <c r="C22" s="10">
        <f t="shared" si="4"/>
        <v>5.5</v>
      </c>
      <c r="D22" s="10">
        <f t="shared" ref="D22:D28" si="8">(C22/5)*8</f>
        <v>8.8000000000000007</v>
      </c>
      <c r="E22" s="11">
        <f t="shared" si="5"/>
        <v>11.4</v>
      </c>
      <c r="F22" s="11">
        <f>SUM(D19:D21,D22)</f>
        <v>19.200000000000003</v>
      </c>
      <c r="G22" s="5">
        <f t="shared" si="6"/>
        <v>13.4</v>
      </c>
      <c r="H22" s="5">
        <f t="shared" si="7"/>
        <v>21.200000000000003</v>
      </c>
    </row>
    <row r="23" spans="1:9" x14ac:dyDescent="0.35">
      <c r="A23" s="9" t="s">
        <v>16</v>
      </c>
      <c r="B23" s="10">
        <v>16</v>
      </c>
      <c r="C23" s="10">
        <f t="shared" si="4"/>
        <v>4</v>
      </c>
      <c r="D23" s="10">
        <f t="shared" si="8"/>
        <v>6.4</v>
      </c>
      <c r="E23" s="11">
        <f t="shared" si="5"/>
        <v>20.200000000000003</v>
      </c>
      <c r="F23" s="11">
        <f>SUM(D19:D22,D23)</f>
        <v>25.6</v>
      </c>
      <c r="G23" s="5">
        <f t="shared" si="6"/>
        <v>22.200000000000003</v>
      </c>
      <c r="H23" s="5">
        <f t="shared" si="7"/>
        <v>27.6</v>
      </c>
    </row>
    <row r="24" spans="1:9" x14ac:dyDescent="0.35">
      <c r="A24" s="9" t="s">
        <v>17</v>
      </c>
      <c r="B24" s="10">
        <v>24.5</v>
      </c>
      <c r="C24" s="10">
        <f t="shared" si="4"/>
        <v>8.5</v>
      </c>
      <c r="D24" s="10">
        <f t="shared" si="8"/>
        <v>13.6</v>
      </c>
      <c r="E24" s="11">
        <f t="shared" si="5"/>
        <v>26.6</v>
      </c>
      <c r="F24" s="11">
        <f>SUM(D19:D23,D24)</f>
        <v>39.200000000000003</v>
      </c>
      <c r="G24" s="5">
        <f t="shared" si="6"/>
        <v>28.6</v>
      </c>
      <c r="H24" s="5">
        <f t="shared" si="7"/>
        <v>41.2</v>
      </c>
    </row>
    <row r="25" spans="1:9" x14ac:dyDescent="0.35">
      <c r="A25" s="9" t="s">
        <v>25</v>
      </c>
      <c r="B25" s="10">
        <v>39</v>
      </c>
      <c r="C25" s="10">
        <f t="shared" si="4"/>
        <v>14.5</v>
      </c>
      <c r="D25" s="10">
        <f t="shared" si="8"/>
        <v>23.2</v>
      </c>
      <c r="E25" s="11">
        <f t="shared" si="5"/>
        <v>40.200000000000003</v>
      </c>
      <c r="F25" s="11">
        <f t="shared" ref="F25" si="9">SUM(D21:D24,D25)</f>
        <v>60</v>
      </c>
      <c r="G25" s="5">
        <f t="shared" si="6"/>
        <v>42.2</v>
      </c>
      <c r="H25" s="5">
        <f t="shared" si="7"/>
        <v>62</v>
      </c>
    </row>
    <row r="26" spans="1:9" x14ac:dyDescent="0.35">
      <c r="A26" s="9" t="s">
        <v>26</v>
      </c>
      <c r="B26" s="10">
        <v>48.5</v>
      </c>
      <c r="C26" s="10">
        <f t="shared" si="4"/>
        <v>9.5</v>
      </c>
      <c r="D26" s="10">
        <f t="shared" si="8"/>
        <v>15.2</v>
      </c>
      <c r="E26" s="11">
        <f t="shared" si="5"/>
        <v>61</v>
      </c>
      <c r="F26" s="11">
        <f>SUM(D19:D25,D26)</f>
        <v>77.600000000000009</v>
      </c>
      <c r="G26" s="5">
        <f t="shared" si="6"/>
        <v>63</v>
      </c>
      <c r="H26" s="5">
        <f t="shared" si="7"/>
        <v>79.600000000000009</v>
      </c>
    </row>
    <row r="27" spans="1:9" x14ac:dyDescent="0.35">
      <c r="A27" s="9" t="s">
        <v>27</v>
      </c>
      <c r="B27" s="10">
        <v>55.5</v>
      </c>
      <c r="C27" s="10">
        <f t="shared" si="4"/>
        <v>7</v>
      </c>
      <c r="D27" s="10">
        <f t="shared" si="8"/>
        <v>11.2</v>
      </c>
      <c r="E27" s="11">
        <f t="shared" si="5"/>
        <v>78.600000000000009</v>
      </c>
      <c r="F27" s="11">
        <f>SUM(D19:D26,D27)</f>
        <v>88.800000000000011</v>
      </c>
      <c r="G27" s="5">
        <f t="shared" si="6"/>
        <v>80.600000000000009</v>
      </c>
      <c r="H27" s="5">
        <f t="shared" si="7"/>
        <v>90.800000000000011</v>
      </c>
    </row>
    <row r="28" spans="1:9" x14ac:dyDescent="0.35">
      <c r="A28" s="9" t="s">
        <v>13</v>
      </c>
      <c r="B28" s="10">
        <v>62.5</v>
      </c>
      <c r="C28" s="10">
        <f t="shared" si="4"/>
        <v>7</v>
      </c>
      <c r="D28" s="10">
        <f t="shared" si="8"/>
        <v>11.2</v>
      </c>
      <c r="E28" s="11">
        <f t="shared" si="5"/>
        <v>89.800000000000011</v>
      </c>
      <c r="F28" s="11">
        <f>SUM(D19:D27,D28)</f>
        <v>100.00000000000001</v>
      </c>
      <c r="G28" s="5">
        <f t="shared" si="6"/>
        <v>91.800000000000011</v>
      </c>
      <c r="H28" s="5">
        <v>100</v>
      </c>
    </row>
    <row r="29" spans="1:9" x14ac:dyDescent="0.35">
      <c r="A29" s="6"/>
      <c r="B29" s="3"/>
      <c r="C29" s="3"/>
      <c r="D29" s="3"/>
      <c r="E29" s="3"/>
      <c r="F29" s="7"/>
    </row>
    <row r="30" spans="1:9" x14ac:dyDescent="0.35">
      <c r="A30" s="6"/>
      <c r="B30" s="3"/>
      <c r="C30" s="3"/>
      <c r="D30" s="3"/>
      <c r="E30" s="7"/>
      <c r="F30" s="7"/>
    </row>
    <row r="31" spans="1:9" x14ac:dyDescent="0.35">
      <c r="A31" s="12" t="s">
        <v>32</v>
      </c>
      <c r="B31" s="12"/>
      <c r="C31" s="12"/>
      <c r="D31" s="12"/>
      <c r="E31" s="12"/>
      <c r="F31" s="12"/>
    </row>
    <row r="32" spans="1:9" x14ac:dyDescent="0.35">
      <c r="A32" s="9" t="s">
        <v>11</v>
      </c>
      <c r="B32" s="10">
        <v>0</v>
      </c>
      <c r="C32" s="10">
        <f>B32</f>
        <v>0</v>
      </c>
      <c r="D32" s="10">
        <v>0</v>
      </c>
      <c r="E32" s="10">
        <v>0</v>
      </c>
      <c r="F32" s="11">
        <v>0</v>
      </c>
      <c r="G32" s="13">
        <v>0</v>
      </c>
      <c r="H32" s="13">
        <v>0</v>
      </c>
      <c r="I32" s="13">
        <v>-2</v>
      </c>
    </row>
    <row r="33" spans="1:9" x14ac:dyDescent="0.35">
      <c r="A33" s="9" t="s">
        <v>12</v>
      </c>
      <c r="B33" s="10">
        <v>1.5</v>
      </c>
      <c r="C33" s="10">
        <f>B33-B32</f>
        <v>1.5</v>
      </c>
      <c r="D33" s="10">
        <f>(C33/5)*8</f>
        <v>2.4</v>
      </c>
      <c r="E33" s="11">
        <f>F32+1</f>
        <v>1</v>
      </c>
      <c r="F33" s="11">
        <f>SUM(D32,D33)</f>
        <v>2.4</v>
      </c>
      <c r="G33" s="5">
        <f>E33-2</f>
        <v>-1</v>
      </c>
      <c r="H33" s="5">
        <f>F33-2</f>
        <v>0.39999999999999991</v>
      </c>
    </row>
    <row r="34" spans="1:9" x14ac:dyDescent="0.35">
      <c r="A34" s="9" t="s">
        <v>14</v>
      </c>
      <c r="B34" s="10">
        <v>6.5</v>
      </c>
      <c r="C34" s="10">
        <f t="shared" ref="C34:C41" si="10">B34-B33</f>
        <v>5</v>
      </c>
      <c r="D34" s="10">
        <f>(C34/5)*8</f>
        <v>8</v>
      </c>
      <c r="E34" s="11">
        <f t="shared" ref="E34:E41" si="11">F33+1</f>
        <v>3.4</v>
      </c>
      <c r="F34" s="11">
        <f>SUM(D32:D33,D34)</f>
        <v>10.4</v>
      </c>
      <c r="G34" s="5">
        <f t="shared" ref="G34:G41" si="12">E34-2</f>
        <v>1.4</v>
      </c>
      <c r="H34" s="5">
        <f t="shared" ref="H34:H41" si="13">F34-2</f>
        <v>8.4</v>
      </c>
    </row>
    <row r="35" spans="1:9" x14ac:dyDescent="0.35">
      <c r="A35" s="9" t="s">
        <v>15</v>
      </c>
      <c r="B35" s="10">
        <v>12</v>
      </c>
      <c r="C35" s="10">
        <f t="shared" si="10"/>
        <v>5.5</v>
      </c>
      <c r="D35" s="10">
        <f t="shared" ref="D35:D41" si="14">(C35/5)*8</f>
        <v>8.8000000000000007</v>
      </c>
      <c r="E35" s="11">
        <f t="shared" si="11"/>
        <v>11.4</v>
      </c>
      <c r="F35" s="11">
        <f>SUM(D32:D34,D35)</f>
        <v>19.200000000000003</v>
      </c>
      <c r="G35" s="5">
        <f t="shared" si="12"/>
        <v>9.4</v>
      </c>
      <c r="H35" s="5">
        <f t="shared" si="13"/>
        <v>17.200000000000003</v>
      </c>
    </row>
    <row r="36" spans="1:9" x14ac:dyDescent="0.35">
      <c r="A36" s="9" t="s">
        <v>16</v>
      </c>
      <c r="B36" s="10">
        <v>16</v>
      </c>
      <c r="C36" s="10">
        <f t="shared" si="10"/>
        <v>4</v>
      </c>
      <c r="D36" s="10">
        <f t="shared" si="14"/>
        <v>6.4</v>
      </c>
      <c r="E36" s="11">
        <f t="shared" si="11"/>
        <v>20.200000000000003</v>
      </c>
      <c r="F36" s="11">
        <f>SUM(D32:D35,D36)</f>
        <v>25.6</v>
      </c>
      <c r="G36" s="5">
        <f t="shared" si="12"/>
        <v>18.200000000000003</v>
      </c>
      <c r="H36" s="5">
        <f t="shared" si="13"/>
        <v>23.6</v>
      </c>
    </row>
    <row r="37" spans="1:9" x14ac:dyDescent="0.35">
      <c r="A37" s="9" t="s">
        <v>17</v>
      </c>
      <c r="B37" s="10">
        <v>24.5</v>
      </c>
      <c r="C37" s="10">
        <f t="shared" si="10"/>
        <v>8.5</v>
      </c>
      <c r="D37" s="10">
        <f t="shared" si="14"/>
        <v>13.6</v>
      </c>
      <c r="E37" s="11">
        <f t="shared" si="11"/>
        <v>26.6</v>
      </c>
      <c r="F37" s="11">
        <f>SUM(D32:D36,D37)</f>
        <v>39.200000000000003</v>
      </c>
      <c r="G37" s="5">
        <f t="shared" si="12"/>
        <v>24.6</v>
      </c>
      <c r="H37" s="5">
        <f t="shared" si="13"/>
        <v>37.200000000000003</v>
      </c>
    </row>
    <row r="38" spans="1:9" x14ac:dyDescent="0.35">
      <c r="A38" s="9" t="s">
        <v>25</v>
      </c>
      <c r="B38" s="10">
        <v>39</v>
      </c>
      <c r="C38" s="10">
        <f t="shared" si="10"/>
        <v>14.5</v>
      </c>
      <c r="D38" s="10">
        <f t="shared" si="14"/>
        <v>23.2</v>
      </c>
      <c r="E38" s="11">
        <f t="shared" si="11"/>
        <v>40.200000000000003</v>
      </c>
      <c r="F38" s="11">
        <f t="shared" ref="F38" si="15">SUM(D34:D37,D38)</f>
        <v>60</v>
      </c>
      <c r="G38" s="5">
        <f t="shared" si="12"/>
        <v>38.200000000000003</v>
      </c>
      <c r="H38" s="5">
        <f t="shared" si="13"/>
        <v>58</v>
      </c>
    </row>
    <row r="39" spans="1:9" x14ac:dyDescent="0.35">
      <c r="A39" s="9" t="s">
        <v>26</v>
      </c>
      <c r="B39" s="10">
        <v>48.5</v>
      </c>
      <c r="C39" s="10">
        <f t="shared" si="10"/>
        <v>9.5</v>
      </c>
      <c r="D39" s="10">
        <f t="shared" si="14"/>
        <v>15.2</v>
      </c>
      <c r="E39" s="11">
        <f t="shared" si="11"/>
        <v>61</v>
      </c>
      <c r="F39" s="11">
        <f>SUM(D32:D38,D39)</f>
        <v>77.600000000000009</v>
      </c>
      <c r="G39" s="5">
        <f t="shared" si="12"/>
        <v>59</v>
      </c>
      <c r="H39" s="5">
        <f t="shared" si="13"/>
        <v>75.600000000000009</v>
      </c>
    </row>
    <row r="40" spans="1:9" x14ac:dyDescent="0.35">
      <c r="A40" s="9" t="s">
        <v>27</v>
      </c>
      <c r="B40" s="10">
        <v>55.5</v>
      </c>
      <c r="C40" s="10">
        <f t="shared" si="10"/>
        <v>7</v>
      </c>
      <c r="D40" s="10">
        <f t="shared" si="14"/>
        <v>11.2</v>
      </c>
      <c r="E40" s="11">
        <f t="shared" si="11"/>
        <v>78.600000000000009</v>
      </c>
      <c r="F40" s="11">
        <f>SUM(D32:D39,D40)</f>
        <v>88.800000000000011</v>
      </c>
      <c r="G40" s="5">
        <f t="shared" si="12"/>
        <v>76.600000000000009</v>
      </c>
      <c r="H40" s="5">
        <f t="shared" si="13"/>
        <v>86.800000000000011</v>
      </c>
    </row>
    <row r="41" spans="1:9" x14ac:dyDescent="0.35">
      <c r="A41" s="9" t="s">
        <v>13</v>
      </c>
      <c r="B41" s="10">
        <v>62.5</v>
      </c>
      <c r="C41" s="10">
        <f t="shared" si="10"/>
        <v>7</v>
      </c>
      <c r="D41" s="10">
        <f t="shared" si="14"/>
        <v>11.2</v>
      </c>
      <c r="E41" s="11">
        <f t="shared" si="11"/>
        <v>89.800000000000011</v>
      </c>
      <c r="F41" s="11">
        <f>SUM(D32:D40,D41)</f>
        <v>100.00000000000001</v>
      </c>
      <c r="G41" s="5">
        <f t="shared" si="12"/>
        <v>87.800000000000011</v>
      </c>
      <c r="H41" s="5">
        <f t="shared" si="13"/>
        <v>98.000000000000014</v>
      </c>
    </row>
    <row r="42" spans="1:9" x14ac:dyDescent="0.35">
      <c r="A42" s="6"/>
      <c r="F42" s="5"/>
    </row>
    <row r="43" spans="1:9" x14ac:dyDescent="0.35">
      <c r="A43" s="6"/>
      <c r="F43" s="5"/>
    </row>
    <row r="44" spans="1:9" x14ac:dyDescent="0.35">
      <c r="A44" s="12" t="s">
        <v>31</v>
      </c>
      <c r="B44" s="12"/>
      <c r="C44" s="12"/>
      <c r="D44" s="12"/>
      <c r="E44" s="12"/>
      <c r="F44" s="12"/>
    </row>
    <row r="45" spans="1:9" x14ac:dyDescent="0.35">
      <c r="A45" s="9" t="s">
        <v>11</v>
      </c>
      <c r="B45" s="10">
        <v>0</v>
      </c>
      <c r="C45" s="10">
        <f>B45</f>
        <v>0</v>
      </c>
      <c r="D45" s="10">
        <v>0</v>
      </c>
      <c r="E45" s="10">
        <v>0</v>
      </c>
      <c r="F45" s="11">
        <v>0</v>
      </c>
      <c r="G45" s="13">
        <v>0</v>
      </c>
      <c r="H45" s="13">
        <v>0</v>
      </c>
      <c r="I45" s="13">
        <v>2</v>
      </c>
    </row>
    <row r="46" spans="1:9" x14ac:dyDescent="0.35">
      <c r="A46" s="9" t="s">
        <v>12</v>
      </c>
      <c r="B46" s="10">
        <v>1.5</v>
      </c>
      <c r="C46" s="10">
        <f>B46-B45</f>
        <v>1.5</v>
      </c>
      <c r="D46" s="10">
        <f>(C46/5)*8</f>
        <v>2.4</v>
      </c>
      <c r="E46" s="11">
        <f>F45+1</f>
        <v>1</v>
      </c>
      <c r="F46" s="11">
        <f>SUM(D45,D46)</f>
        <v>2.4</v>
      </c>
      <c r="G46" s="5">
        <f>E46+2</f>
        <v>3</v>
      </c>
      <c r="H46" s="5">
        <f>F46+2</f>
        <v>4.4000000000000004</v>
      </c>
    </row>
    <row r="47" spans="1:9" x14ac:dyDescent="0.35">
      <c r="A47" s="9" t="s">
        <v>14</v>
      </c>
      <c r="B47" s="10">
        <v>6.5</v>
      </c>
      <c r="C47" s="10">
        <f t="shared" ref="C47:C54" si="16">B47-B46</f>
        <v>5</v>
      </c>
      <c r="D47" s="10">
        <f>(C47/5)*8</f>
        <v>8</v>
      </c>
      <c r="E47" s="11">
        <f t="shared" ref="E47:E54" si="17">F46+1</f>
        <v>3.4</v>
      </c>
      <c r="F47" s="11">
        <f>SUM(D45:D46,D47)</f>
        <v>10.4</v>
      </c>
      <c r="G47" s="5">
        <f t="shared" ref="G47:G54" si="18">E47+2</f>
        <v>5.4</v>
      </c>
      <c r="H47" s="5">
        <f t="shared" ref="H47:H54" si="19">F47+2</f>
        <v>12.4</v>
      </c>
    </row>
    <row r="48" spans="1:9" x14ac:dyDescent="0.35">
      <c r="A48" s="9" t="s">
        <v>15</v>
      </c>
      <c r="B48" s="10">
        <v>12</v>
      </c>
      <c r="C48" s="10">
        <f t="shared" si="16"/>
        <v>5.5</v>
      </c>
      <c r="D48" s="10">
        <f t="shared" ref="D48:D54" si="20">(C48/5)*8</f>
        <v>8.8000000000000007</v>
      </c>
      <c r="E48" s="11">
        <f t="shared" si="17"/>
        <v>11.4</v>
      </c>
      <c r="F48" s="11">
        <f>SUM(D45:D47,D48)</f>
        <v>19.200000000000003</v>
      </c>
      <c r="G48" s="5">
        <f t="shared" si="18"/>
        <v>13.4</v>
      </c>
      <c r="H48" s="5">
        <f t="shared" si="19"/>
        <v>21.200000000000003</v>
      </c>
    </row>
    <row r="49" spans="1:8" x14ac:dyDescent="0.35">
      <c r="A49" s="9" t="s">
        <v>16</v>
      </c>
      <c r="B49" s="10">
        <v>16</v>
      </c>
      <c r="C49" s="10">
        <f t="shared" si="16"/>
        <v>4</v>
      </c>
      <c r="D49" s="10">
        <f t="shared" si="20"/>
        <v>6.4</v>
      </c>
      <c r="E49" s="11">
        <f t="shared" si="17"/>
        <v>20.200000000000003</v>
      </c>
      <c r="F49" s="11">
        <f>SUM(D45:D48,D49)</f>
        <v>25.6</v>
      </c>
      <c r="G49" s="5">
        <f t="shared" si="18"/>
        <v>22.200000000000003</v>
      </c>
      <c r="H49" s="5">
        <f t="shared" si="19"/>
        <v>27.6</v>
      </c>
    </row>
    <row r="50" spans="1:8" x14ac:dyDescent="0.35">
      <c r="A50" s="9" t="s">
        <v>17</v>
      </c>
      <c r="B50" s="10">
        <v>24.5</v>
      </c>
      <c r="C50" s="10">
        <f t="shared" si="16"/>
        <v>8.5</v>
      </c>
      <c r="D50" s="10">
        <f t="shared" si="20"/>
        <v>13.6</v>
      </c>
      <c r="E50" s="11">
        <f t="shared" si="17"/>
        <v>26.6</v>
      </c>
      <c r="F50" s="11">
        <f>SUM(D45:D49,D50)</f>
        <v>39.200000000000003</v>
      </c>
      <c r="G50" s="5">
        <f t="shared" si="18"/>
        <v>28.6</v>
      </c>
      <c r="H50" s="5">
        <f t="shared" si="19"/>
        <v>41.2</v>
      </c>
    </row>
    <row r="51" spans="1:8" x14ac:dyDescent="0.35">
      <c r="A51" s="9" t="s">
        <v>25</v>
      </c>
      <c r="B51" s="10">
        <v>39</v>
      </c>
      <c r="C51" s="10">
        <f t="shared" si="16"/>
        <v>14.5</v>
      </c>
      <c r="D51" s="10">
        <f t="shared" si="20"/>
        <v>23.2</v>
      </c>
      <c r="E51" s="11">
        <f t="shared" si="17"/>
        <v>40.200000000000003</v>
      </c>
      <c r="F51" s="11">
        <f t="shared" ref="F51" si="21">SUM(D47:D50,D51)</f>
        <v>60</v>
      </c>
      <c r="G51" s="5">
        <f t="shared" si="18"/>
        <v>42.2</v>
      </c>
      <c r="H51" s="5">
        <f t="shared" si="19"/>
        <v>62</v>
      </c>
    </row>
    <row r="52" spans="1:8" x14ac:dyDescent="0.35">
      <c r="A52" s="9" t="s">
        <v>26</v>
      </c>
      <c r="B52" s="10">
        <v>48.5</v>
      </c>
      <c r="C52" s="10">
        <f t="shared" si="16"/>
        <v>9.5</v>
      </c>
      <c r="D52" s="10">
        <f t="shared" si="20"/>
        <v>15.2</v>
      </c>
      <c r="E52" s="11">
        <f t="shared" si="17"/>
        <v>61</v>
      </c>
      <c r="F52" s="11">
        <f>SUM(D45:D51,D52)</f>
        <v>77.600000000000009</v>
      </c>
      <c r="G52" s="5">
        <f t="shared" si="18"/>
        <v>63</v>
      </c>
      <c r="H52" s="5">
        <f t="shared" si="19"/>
        <v>79.600000000000009</v>
      </c>
    </row>
    <row r="53" spans="1:8" x14ac:dyDescent="0.35">
      <c r="A53" s="9" t="s">
        <v>27</v>
      </c>
      <c r="B53" s="10">
        <v>55.5</v>
      </c>
      <c r="C53" s="10">
        <f t="shared" si="16"/>
        <v>7</v>
      </c>
      <c r="D53" s="10">
        <f t="shared" si="20"/>
        <v>11.2</v>
      </c>
      <c r="E53" s="11">
        <f t="shared" si="17"/>
        <v>78.600000000000009</v>
      </c>
      <c r="F53" s="11">
        <f>SUM(D45:D52,D53)</f>
        <v>88.800000000000011</v>
      </c>
      <c r="G53" s="5">
        <f t="shared" si="18"/>
        <v>80.600000000000009</v>
      </c>
      <c r="H53" s="5">
        <f t="shared" si="19"/>
        <v>90.800000000000011</v>
      </c>
    </row>
    <row r="54" spans="1:8" x14ac:dyDescent="0.35">
      <c r="A54" s="9" t="s">
        <v>13</v>
      </c>
      <c r="B54" s="10">
        <v>62.5</v>
      </c>
      <c r="C54" s="10">
        <f t="shared" si="16"/>
        <v>7</v>
      </c>
      <c r="D54" s="10">
        <f t="shared" si="20"/>
        <v>11.2</v>
      </c>
      <c r="E54" s="11">
        <f t="shared" si="17"/>
        <v>89.800000000000011</v>
      </c>
      <c r="F54" s="11">
        <f>SUM(D45:D53,D54)</f>
        <v>100.00000000000001</v>
      </c>
      <c r="G54" s="5">
        <f t="shared" si="18"/>
        <v>91.800000000000011</v>
      </c>
      <c r="H54" s="5">
        <v>100</v>
      </c>
    </row>
    <row r="55" spans="1:8" x14ac:dyDescent="0.35">
      <c r="F55" s="5"/>
    </row>
    <row r="56" spans="1:8" x14ac:dyDescent="0.35">
      <c r="F56" s="5"/>
    </row>
    <row r="57" spans="1:8" x14ac:dyDescent="0.35">
      <c r="F57" s="5"/>
    </row>
    <row r="58" spans="1:8" x14ac:dyDescent="0.35">
      <c r="F58" s="5"/>
    </row>
    <row r="59" spans="1:8" x14ac:dyDescent="0.35">
      <c r="F59" s="5"/>
    </row>
    <row r="60" spans="1:8" x14ac:dyDescent="0.35">
      <c r="F60" s="5"/>
    </row>
    <row r="61" spans="1:8" x14ac:dyDescent="0.35">
      <c r="F61" s="5"/>
    </row>
    <row r="62" spans="1:8" x14ac:dyDescent="0.35">
      <c r="F62" s="5"/>
    </row>
    <row r="63" spans="1:8" x14ac:dyDescent="0.35">
      <c r="F63" s="5"/>
    </row>
    <row r="64" spans="1:8" x14ac:dyDescent="0.35">
      <c r="F64" s="5"/>
    </row>
    <row r="65" spans="6:6" x14ac:dyDescent="0.35">
      <c r="F65" s="5"/>
    </row>
    <row r="66" spans="6:6" x14ac:dyDescent="0.35">
      <c r="F66" s="5"/>
    </row>
    <row r="67" spans="6:6" x14ac:dyDescent="0.35">
      <c r="F67" s="5"/>
    </row>
    <row r="68" spans="6:6" x14ac:dyDescent="0.35">
      <c r="F68" s="5"/>
    </row>
    <row r="69" spans="6:6" x14ac:dyDescent="0.35">
      <c r="F69" s="5"/>
    </row>
    <row r="70" spans="6:6" x14ac:dyDescent="0.35">
      <c r="F70" s="5"/>
    </row>
    <row r="71" spans="6:6" x14ac:dyDescent="0.35">
      <c r="F71" s="5"/>
    </row>
    <row r="72" spans="6:6" x14ac:dyDescent="0.35">
      <c r="F72" s="5"/>
    </row>
    <row r="73" spans="6:6" x14ac:dyDescent="0.35">
      <c r="F73" s="5"/>
    </row>
    <row r="74" spans="6:6" x14ac:dyDescent="0.35">
      <c r="F74" s="5"/>
    </row>
    <row r="75" spans="6:6" x14ac:dyDescent="0.35">
      <c r="F75" s="5"/>
    </row>
    <row r="76" spans="6:6" x14ac:dyDescent="0.35">
      <c r="F76" s="5"/>
    </row>
    <row r="77" spans="6:6" x14ac:dyDescent="0.35">
      <c r="F77" s="5"/>
    </row>
    <row r="78" spans="6:6" x14ac:dyDescent="0.35">
      <c r="F78" s="5"/>
    </row>
    <row r="79" spans="6:6" x14ac:dyDescent="0.35">
      <c r="F79" s="5"/>
    </row>
    <row r="80" spans="6:6" x14ac:dyDescent="0.35">
      <c r="F80" s="5"/>
    </row>
    <row r="81" spans="6:6" x14ac:dyDescent="0.35">
      <c r="F81" s="5"/>
    </row>
    <row r="82" spans="6:6" x14ac:dyDescent="0.35">
      <c r="F82" s="5"/>
    </row>
    <row r="83" spans="6:6" x14ac:dyDescent="0.35">
      <c r="F83" s="5"/>
    </row>
    <row r="84" spans="6:6" x14ac:dyDescent="0.35">
      <c r="F84" s="5"/>
    </row>
    <row r="85" spans="6:6" x14ac:dyDescent="0.35">
      <c r="F85" s="5"/>
    </row>
    <row r="86" spans="6:6" x14ac:dyDescent="0.35">
      <c r="F86" s="5"/>
    </row>
    <row r="87" spans="6:6" x14ac:dyDescent="0.35">
      <c r="F87" s="5"/>
    </row>
    <row r="88" spans="6:6" x14ac:dyDescent="0.35">
      <c r="F88" s="5"/>
    </row>
    <row r="89" spans="6:6" x14ac:dyDescent="0.35">
      <c r="F89" s="5"/>
    </row>
    <row r="90" spans="6:6" x14ac:dyDescent="0.35">
      <c r="F90" s="5"/>
    </row>
    <row r="91" spans="6:6" x14ac:dyDescent="0.35">
      <c r="F91" s="5"/>
    </row>
    <row r="92" spans="6:6" x14ac:dyDescent="0.35">
      <c r="F92" s="5"/>
    </row>
    <row r="93" spans="6:6" x14ac:dyDescent="0.35">
      <c r="F93" s="5"/>
    </row>
    <row r="94" spans="6:6" x14ac:dyDescent="0.35">
      <c r="F94" s="5"/>
    </row>
    <row r="95" spans="6:6" x14ac:dyDescent="0.35">
      <c r="F95" s="5"/>
    </row>
    <row r="96" spans="6:6" x14ac:dyDescent="0.35">
      <c r="F96" s="5"/>
    </row>
    <row r="97" spans="6:6" x14ac:dyDescent="0.35">
      <c r="F97" s="5"/>
    </row>
    <row r="98" spans="6:6" x14ac:dyDescent="0.35">
      <c r="F98" s="5"/>
    </row>
    <row r="99" spans="6:6" x14ac:dyDescent="0.35">
      <c r="F99" s="5"/>
    </row>
    <row r="100" spans="6:6" x14ac:dyDescent="0.35">
      <c r="F100" s="5"/>
    </row>
    <row r="101" spans="6:6" x14ac:dyDescent="0.35">
      <c r="F101" s="5"/>
    </row>
    <row r="102" spans="6:6" x14ac:dyDescent="0.35">
      <c r="F102" s="5"/>
    </row>
    <row r="103" spans="6:6" x14ac:dyDescent="0.35">
      <c r="F103" s="5"/>
    </row>
    <row r="104" spans="6:6" x14ac:dyDescent="0.35">
      <c r="F104" s="5"/>
    </row>
    <row r="105" spans="6:6" x14ac:dyDescent="0.35">
      <c r="F105" s="5"/>
    </row>
    <row r="106" spans="6:6" x14ac:dyDescent="0.35">
      <c r="F106" s="5"/>
    </row>
    <row r="107" spans="6:6" x14ac:dyDescent="0.35">
      <c r="F107" s="5"/>
    </row>
    <row r="108" spans="6:6" x14ac:dyDescent="0.35">
      <c r="F108" s="5"/>
    </row>
    <row r="109" spans="6:6" x14ac:dyDescent="0.35">
      <c r="F109" s="5"/>
    </row>
    <row r="110" spans="6:6" x14ac:dyDescent="0.35">
      <c r="F110" s="5"/>
    </row>
    <row r="111" spans="6:6" x14ac:dyDescent="0.35">
      <c r="F111" s="5"/>
    </row>
    <row r="112" spans="6:6" x14ac:dyDescent="0.35">
      <c r="F112" s="5"/>
    </row>
    <row r="113" spans="6:6" x14ac:dyDescent="0.35">
      <c r="F113" s="5"/>
    </row>
    <row r="114" spans="6:6" x14ac:dyDescent="0.35">
      <c r="F114" s="5"/>
    </row>
    <row r="115" spans="6:6" x14ac:dyDescent="0.35">
      <c r="F115" s="5"/>
    </row>
    <row r="116" spans="6:6" x14ac:dyDescent="0.35">
      <c r="F116" s="5"/>
    </row>
    <row r="117" spans="6:6" x14ac:dyDescent="0.35">
      <c r="F117" s="5"/>
    </row>
    <row r="118" spans="6:6" x14ac:dyDescent="0.35">
      <c r="F118" s="5"/>
    </row>
    <row r="119" spans="6:6" x14ac:dyDescent="0.35">
      <c r="F119" s="5"/>
    </row>
    <row r="120" spans="6:6" x14ac:dyDescent="0.35">
      <c r="F120" s="5"/>
    </row>
    <row r="121" spans="6:6" x14ac:dyDescent="0.35">
      <c r="F121" s="5"/>
    </row>
    <row r="122" spans="6:6" x14ac:dyDescent="0.35">
      <c r="F122" s="5"/>
    </row>
    <row r="123" spans="6:6" x14ac:dyDescent="0.35">
      <c r="F123" s="5"/>
    </row>
    <row r="124" spans="6:6" x14ac:dyDescent="0.35">
      <c r="F124" s="5"/>
    </row>
    <row r="125" spans="6:6" x14ac:dyDescent="0.35">
      <c r="F125" s="5"/>
    </row>
    <row r="126" spans="6:6" x14ac:dyDescent="0.35">
      <c r="F126" s="5"/>
    </row>
    <row r="127" spans="6:6" x14ac:dyDescent="0.35">
      <c r="F127" s="5"/>
    </row>
    <row r="128" spans="6:6" x14ac:dyDescent="0.35">
      <c r="F128" s="5"/>
    </row>
    <row r="129" spans="6:6" x14ac:dyDescent="0.35">
      <c r="F129" s="5"/>
    </row>
    <row r="130" spans="6:6" x14ac:dyDescent="0.35">
      <c r="F130" s="5"/>
    </row>
    <row r="131" spans="6:6" x14ac:dyDescent="0.35">
      <c r="F131" s="5"/>
    </row>
    <row r="132" spans="6:6" x14ac:dyDescent="0.35">
      <c r="F132" s="5"/>
    </row>
    <row r="133" spans="6:6" x14ac:dyDescent="0.35">
      <c r="F133" s="5"/>
    </row>
    <row r="134" spans="6:6" x14ac:dyDescent="0.35">
      <c r="F134" s="5"/>
    </row>
    <row r="135" spans="6:6" x14ac:dyDescent="0.35">
      <c r="F135" s="5"/>
    </row>
    <row r="136" spans="6:6" x14ac:dyDescent="0.35">
      <c r="F136" s="5"/>
    </row>
    <row r="137" spans="6:6" x14ac:dyDescent="0.35">
      <c r="F137" s="5"/>
    </row>
    <row r="138" spans="6:6" x14ac:dyDescent="0.35">
      <c r="F138" s="5"/>
    </row>
    <row r="139" spans="6:6" x14ac:dyDescent="0.35">
      <c r="F139" s="5"/>
    </row>
    <row r="140" spans="6:6" x14ac:dyDescent="0.35">
      <c r="F140" s="5"/>
    </row>
    <row r="141" spans="6:6" x14ac:dyDescent="0.35">
      <c r="F141" s="5"/>
    </row>
    <row r="142" spans="6:6" x14ac:dyDescent="0.35">
      <c r="F142" s="5"/>
    </row>
    <row r="143" spans="6:6" x14ac:dyDescent="0.35">
      <c r="F143" s="5"/>
    </row>
    <row r="144" spans="6:6" x14ac:dyDescent="0.35">
      <c r="F144" s="5"/>
    </row>
    <row r="145" spans="6:6" x14ac:dyDescent="0.35">
      <c r="F145" s="5"/>
    </row>
    <row r="146" spans="6:6" x14ac:dyDescent="0.35">
      <c r="F146" s="5"/>
    </row>
    <row r="147" spans="6:6" x14ac:dyDescent="0.35">
      <c r="F147" s="5"/>
    </row>
    <row r="148" spans="6:6" x14ac:dyDescent="0.35">
      <c r="F148" s="5"/>
    </row>
    <row r="149" spans="6:6" x14ac:dyDescent="0.35">
      <c r="F149" s="5"/>
    </row>
    <row r="150" spans="6:6" x14ac:dyDescent="0.35">
      <c r="F150" s="5"/>
    </row>
    <row r="151" spans="6:6" x14ac:dyDescent="0.35">
      <c r="F151" s="5"/>
    </row>
    <row r="152" spans="6:6" x14ac:dyDescent="0.35">
      <c r="F152" s="5"/>
    </row>
  </sheetData>
  <mergeCells count="4">
    <mergeCell ref="A5:F5"/>
    <mergeCell ref="A18:F18"/>
    <mergeCell ref="A31:F31"/>
    <mergeCell ref="A44:F44"/>
  </mergeCells>
  <phoneticPr fontId="3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6E2F33-F442-4DE4-9649-3269C6CFF759}">
  <dimension ref="A1:I158"/>
  <sheetViews>
    <sheetView tabSelected="1" topLeftCell="A46" workbookViewId="0">
      <selection activeCell="A44" sqref="A44"/>
    </sheetView>
  </sheetViews>
  <sheetFormatPr defaultRowHeight="14.5" x14ac:dyDescent="0.35"/>
  <cols>
    <col min="1" max="1" width="10.08984375" customWidth="1"/>
    <col min="2" max="2" width="10.26953125" customWidth="1"/>
    <col min="3" max="3" width="7.08984375" customWidth="1"/>
    <col min="4" max="4" width="10.90625" customWidth="1"/>
    <col min="5" max="5" width="12.1796875" customWidth="1"/>
    <col min="6" max="6" width="12.6328125" customWidth="1"/>
    <col min="7" max="8" width="10.6328125" customWidth="1"/>
  </cols>
  <sheetData>
    <row r="1" spans="1:8" x14ac:dyDescent="0.35">
      <c r="A1" s="1" t="s">
        <v>29</v>
      </c>
    </row>
    <row r="2" spans="1:8" x14ac:dyDescent="0.35">
      <c r="A2" s="1" t="s">
        <v>33</v>
      </c>
    </row>
    <row r="4" spans="1:8" s="4" customFormat="1" ht="28.5" customHeight="1" x14ac:dyDescent="0.35">
      <c r="A4" s="8" t="s">
        <v>5</v>
      </c>
      <c r="B4" s="8" t="s">
        <v>7</v>
      </c>
      <c r="C4" s="8" t="s">
        <v>6</v>
      </c>
      <c r="D4" s="8" t="s">
        <v>8</v>
      </c>
      <c r="E4" s="8" t="s">
        <v>9</v>
      </c>
      <c r="F4" s="8" t="s">
        <v>10</v>
      </c>
      <c r="G4" s="8" t="s">
        <v>43</v>
      </c>
      <c r="H4" s="8" t="s">
        <v>44</v>
      </c>
    </row>
    <row r="5" spans="1:8" x14ac:dyDescent="0.35">
      <c r="A5" s="12" t="s">
        <v>30</v>
      </c>
      <c r="B5" s="12"/>
      <c r="C5" s="12"/>
      <c r="D5" s="12"/>
      <c r="E5" s="12"/>
      <c r="F5" s="12"/>
    </row>
    <row r="6" spans="1:8" s="2" customFormat="1" x14ac:dyDescent="0.35">
      <c r="A6" s="6" t="s">
        <v>11</v>
      </c>
      <c r="B6" s="3">
        <v>0</v>
      </c>
      <c r="C6" s="3">
        <f>B6</f>
        <v>0</v>
      </c>
      <c r="D6" s="3">
        <v>0</v>
      </c>
      <c r="E6" s="3">
        <v>0</v>
      </c>
      <c r="F6" s="7">
        <v>0</v>
      </c>
    </row>
    <row r="7" spans="1:8" s="2" customFormat="1" x14ac:dyDescent="0.35">
      <c r="A7" s="6" t="s">
        <v>12</v>
      </c>
      <c r="B7" s="3">
        <v>1.5</v>
      </c>
      <c r="C7" s="3">
        <f>B7-B6</f>
        <v>1.5</v>
      </c>
      <c r="D7" s="3">
        <f>(C7/5)*8</f>
        <v>2.4</v>
      </c>
      <c r="E7" s="7">
        <f>F6+1</f>
        <v>1</v>
      </c>
      <c r="F7" s="7">
        <f>SUM(D6,D7)</f>
        <v>2.4</v>
      </c>
    </row>
    <row r="8" spans="1:8" x14ac:dyDescent="0.35">
      <c r="A8" s="6" t="s">
        <v>14</v>
      </c>
      <c r="B8" s="3">
        <v>6</v>
      </c>
      <c r="C8" s="3">
        <f t="shared" ref="C8:C21" si="0">B8-B7</f>
        <v>4.5</v>
      </c>
      <c r="D8" s="3">
        <f>(C8/5)*8</f>
        <v>7.2</v>
      </c>
      <c r="E8" s="7">
        <f t="shared" ref="E8:E21" si="1">F7+1</f>
        <v>3.4</v>
      </c>
      <c r="F8" s="7">
        <f>SUM(D6:D7,D8)</f>
        <v>9.6</v>
      </c>
    </row>
    <row r="9" spans="1:8" x14ac:dyDescent="0.35">
      <c r="A9" s="6" t="s">
        <v>15</v>
      </c>
      <c r="B9" s="3">
        <v>11.5</v>
      </c>
      <c r="C9" s="3">
        <f t="shared" si="0"/>
        <v>5.5</v>
      </c>
      <c r="D9" s="3">
        <f t="shared" ref="D9:D21" si="2">(C9/5)*8</f>
        <v>8.8000000000000007</v>
      </c>
      <c r="E9" s="7">
        <f t="shared" si="1"/>
        <v>10.6</v>
      </c>
      <c r="F9" s="7">
        <f>SUM(D6:D8,D9)</f>
        <v>18.399999999999999</v>
      </c>
    </row>
    <row r="10" spans="1:8" x14ac:dyDescent="0.35">
      <c r="A10" s="6" t="s">
        <v>16</v>
      </c>
      <c r="B10" s="3">
        <v>15</v>
      </c>
      <c r="C10" s="3">
        <f t="shared" si="0"/>
        <v>3.5</v>
      </c>
      <c r="D10" s="3">
        <f t="shared" si="2"/>
        <v>5.6</v>
      </c>
      <c r="E10" s="7">
        <f t="shared" si="1"/>
        <v>19.399999999999999</v>
      </c>
      <c r="F10" s="7">
        <f>SUM(D6:D9,D10)</f>
        <v>24</v>
      </c>
    </row>
    <row r="11" spans="1:8" x14ac:dyDescent="0.35">
      <c r="A11" s="6" t="s">
        <v>17</v>
      </c>
      <c r="B11" s="3">
        <v>19</v>
      </c>
      <c r="C11" s="3">
        <f t="shared" si="0"/>
        <v>4</v>
      </c>
      <c r="D11" s="3">
        <f t="shared" si="2"/>
        <v>6.4</v>
      </c>
      <c r="E11" s="7">
        <f t="shared" si="1"/>
        <v>25</v>
      </c>
      <c r="F11" s="7">
        <f>SUM(D6:D10,D11)</f>
        <v>30.4</v>
      </c>
    </row>
    <row r="12" spans="1:8" x14ac:dyDescent="0.35">
      <c r="A12" s="6" t="s">
        <v>25</v>
      </c>
      <c r="B12" s="3">
        <v>24</v>
      </c>
      <c r="C12" s="3">
        <f t="shared" si="0"/>
        <v>5</v>
      </c>
      <c r="D12" s="3">
        <f t="shared" si="2"/>
        <v>8</v>
      </c>
      <c r="E12" s="7">
        <f t="shared" si="1"/>
        <v>31.4</v>
      </c>
      <c r="F12" s="7">
        <f>SUM(D6:D11,D12)</f>
        <v>38.4</v>
      </c>
    </row>
    <row r="13" spans="1:8" x14ac:dyDescent="0.35">
      <c r="A13" s="6" t="s">
        <v>26</v>
      </c>
      <c r="B13" s="3">
        <v>29</v>
      </c>
      <c r="C13" s="3">
        <f t="shared" si="0"/>
        <v>5</v>
      </c>
      <c r="D13" s="3">
        <f t="shared" si="2"/>
        <v>8</v>
      </c>
      <c r="E13" s="7">
        <f t="shared" si="1"/>
        <v>39.4</v>
      </c>
      <c r="F13" s="7">
        <f>SUM(D6:D12,D13)</f>
        <v>46.4</v>
      </c>
    </row>
    <row r="14" spans="1:8" x14ac:dyDescent="0.35">
      <c r="A14" s="6" t="s">
        <v>27</v>
      </c>
      <c r="B14" s="3">
        <v>36.5</v>
      </c>
      <c r="C14" s="3">
        <f t="shared" si="0"/>
        <v>7.5</v>
      </c>
      <c r="D14" s="3">
        <f t="shared" si="2"/>
        <v>12</v>
      </c>
      <c r="E14" s="7">
        <f t="shared" si="1"/>
        <v>47.4</v>
      </c>
      <c r="F14" s="7">
        <f t="shared" ref="F14:F21" si="3">SUM(D7:D13,D14)</f>
        <v>58.4</v>
      </c>
    </row>
    <row r="15" spans="1:8" x14ac:dyDescent="0.35">
      <c r="A15" s="6" t="s">
        <v>37</v>
      </c>
      <c r="B15" s="3">
        <v>41.5</v>
      </c>
      <c r="C15" s="3">
        <f t="shared" si="0"/>
        <v>5</v>
      </c>
      <c r="D15" s="3">
        <f t="shared" si="2"/>
        <v>8</v>
      </c>
      <c r="E15" s="7">
        <f t="shared" si="1"/>
        <v>59.4</v>
      </c>
      <c r="F15" s="7">
        <f>SUM(D7:D14,D15)</f>
        <v>66.400000000000006</v>
      </c>
    </row>
    <row r="16" spans="1:8" x14ac:dyDescent="0.35">
      <c r="A16" s="6" t="s">
        <v>38</v>
      </c>
      <c r="B16" s="3">
        <v>46</v>
      </c>
      <c r="C16" s="3">
        <f t="shared" si="0"/>
        <v>4.5</v>
      </c>
      <c r="D16" s="3">
        <f t="shared" si="2"/>
        <v>7.2</v>
      </c>
      <c r="E16" s="7">
        <f t="shared" si="1"/>
        <v>67.400000000000006</v>
      </c>
      <c r="F16" s="7">
        <f>SUM(D7:D15,D16)</f>
        <v>73.600000000000009</v>
      </c>
    </row>
    <row r="17" spans="1:9" x14ac:dyDescent="0.35">
      <c r="A17" s="6" t="s">
        <v>39</v>
      </c>
      <c r="B17" s="3">
        <v>57</v>
      </c>
      <c r="C17" s="3">
        <f t="shared" si="0"/>
        <v>11</v>
      </c>
      <c r="D17" s="3">
        <f t="shared" si="2"/>
        <v>17.600000000000001</v>
      </c>
      <c r="E17" s="7">
        <f t="shared" si="1"/>
        <v>74.600000000000009</v>
      </c>
      <c r="F17" s="7">
        <f>SUM(D7:D16,D17)</f>
        <v>91.200000000000017</v>
      </c>
    </row>
    <row r="18" spans="1:9" x14ac:dyDescent="0.35">
      <c r="A18" s="6" t="s">
        <v>40</v>
      </c>
      <c r="B18" s="3">
        <v>65</v>
      </c>
      <c r="C18" s="3">
        <f t="shared" si="0"/>
        <v>8</v>
      </c>
      <c r="D18" s="3">
        <f t="shared" si="2"/>
        <v>12.8</v>
      </c>
      <c r="E18" s="7">
        <f t="shared" si="1"/>
        <v>92.200000000000017</v>
      </c>
      <c r="F18" s="7">
        <f>SUM(D7:D17,D18)</f>
        <v>104.00000000000001</v>
      </c>
    </row>
    <row r="19" spans="1:9" x14ac:dyDescent="0.35">
      <c r="A19" s="6" t="s">
        <v>41</v>
      </c>
      <c r="B19" s="3">
        <v>76</v>
      </c>
      <c r="C19" s="3">
        <f t="shared" si="0"/>
        <v>11</v>
      </c>
      <c r="D19" s="3">
        <f t="shared" si="2"/>
        <v>17.600000000000001</v>
      </c>
      <c r="E19" s="7">
        <f t="shared" si="1"/>
        <v>105.00000000000001</v>
      </c>
      <c r="F19" s="7">
        <f>SUM(D7:D18,D19)</f>
        <v>121.60000000000002</v>
      </c>
    </row>
    <row r="20" spans="1:9" x14ac:dyDescent="0.35">
      <c r="A20" s="6" t="s">
        <v>42</v>
      </c>
      <c r="B20" s="3">
        <v>85</v>
      </c>
      <c r="C20" s="3">
        <f t="shared" si="0"/>
        <v>9</v>
      </c>
      <c r="D20" s="3">
        <f t="shared" si="2"/>
        <v>14.4</v>
      </c>
      <c r="E20" s="7">
        <f t="shared" si="1"/>
        <v>122.60000000000002</v>
      </c>
      <c r="F20" s="7">
        <f>SUM(D7:D19,D20)</f>
        <v>136.00000000000003</v>
      </c>
    </row>
    <row r="21" spans="1:9" x14ac:dyDescent="0.35">
      <c r="A21" s="6" t="s">
        <v>13</v>
      </c>
      <c r="B21" s="3">
        <v>88.5</v>
      </c>
      <c r="C21" s="3">
        <f t="shared" si="0"/>
        <v>3.5</v>
      </c>
      <c r="D21" s="3">
        <f t="shared" si="2"/>
        <v>5.6</v>
      </c>
      <c r="E21" s="7">
        <f t="shared" si="1"/>
        <v>137.00000000000003</v>
      </c>
      <c r="F21" s="7">
        <f>SUM(D7:D20,D21)</f>
        <v>141.60000000000002</v>
      </c>
    </row>
    <row r="22" spans="1:9" x14ac:dyDescent="0.35">
      <c r="A22" s="6"/>
      <c r="B22" s="3"/>
      <c r="C22" s="3"/>
      <c r="D22" s="3"/>
      <c r="E22" s="7"/>
      <c r="F22" s="7"/>
    </row>
    <row r="23" spans="1:9" x14ac:dyDescent="0.35">
      <c r="A23" s="6"/>
      <c r="B23" s="3"/>
      <c r="C23" s="3"/>
      <c r="D23" s="3"/>
      <c r="E23" s="7"/>
      <c r="F23" s="7"/>
    </row>
    <row r="24" spans="1:9" x14ac:dyDescent="0.35">
      <c r="A24" s="12" t="s">
        <v>47</v>
      </c>
      <c r="B24" s="12"/>
      <c r="C24" s="12"/>
      <c r="D24" s="12"/>
      <c r="E24" s="12"/>
      <c r="F24" s="12"/>
    </row>
    <row r="25" spans="1:9" x14ac:dyDescent="0.35">
      <c r="A25" s="6" t="s">
        <v>11</v>
      </c>
      <c r="B25" s="3">
        <v>0</v>
      </c>
      <c r="C25" s="3">
        <f>B25</f>
        <v>0</v>
      </c>
      <c r="D25" s="3">
        <v>0</v>
      </c>
      <c r="E25" s="3">
        <v>0</v>
      </c>
      <c r="F25" s="7">
        <v>0</v>
      </c>
      <c r="G25" s="3">
        <v>0</v>
      </c>
      <c r="H25" s="3">
        <v>0</v>
      </c>
      <c r="I25" s="3">
        <v>2</v>
      </c>
    </row>
    <row r="26" spans="1:9" x14ac:dyDescent="0.35">
      <c r="A26" s="6" t="s">
        <v>12</v>
      </c>
      <c r="B26" s="3">
        <v>1.5</v>
      </c>
      <c r="C26" s="3">
        <f>B26-B25</f>
        <v>1.5</v>
      </c>
      <c r="D26" s="3">
        <f>(C26/5)*8</f>
        <v>2.4</v>
      </c>
      <c r="E26" s="7">
        <f>F25+1</f>
        <v>1</v>
      </c>
      <c r="F26" s="7">
        <f>SUM(D25,D26)</f>
        <v>2.4</v>
      </c>
      <c r="G26" s="5">
        <f>E26+I25</f>
        <v>3</v>
      </c>
      <c r="H26" s="5">
        <f>F26+I25</f>
        <v>4.4000000000000004</v>
      </c>
    </row>
    <row r="27" spans="1:9" x14ac:dyDescent="0.35">
      <c r="A27" s="6" t="s">
        <v>14</v>
      </c>
      <c r="B27" s="3">
        <v>6</v>
      </c>
      <c r="C27" s="3">
        <f t="shared" ref="C27:C40" si="4">B27-B26</f>
        <v>4.5</v>
      </c>
      <c r="D27" s="3">
        <f>(C27/5)*8</f>
        <v>7.2</v>
      </c>
      <c r="E27" s="7">
        <f t="shared" ref="E27:E40" si="5">F26+1</f>
        <v>3.4</v>
      </c>
      <c r="F27" s="7">
        <f>SUM(D25:D26,D27)</f>
        <v>9.6</v>
      </c>
      <c r="G27" s="5">
        <f t="shared" ref="G27:G40" si="6">E27+I26</f>
        <v>3.4</v>
      </c>
      <c r="H27" s="5">
        <f t="shared" ref="H27:H39" si="7">F27+2</f>
        <v>11.6</v>
      </c>
    </row>
    <row r="28" spans="1:9" x14ac:dyDescent="0.35">
      <c r="A28" s="6" t="s">
        <v>15</v>
      </c>
      <c r="B28" s="3">
        <v>11.5</v>
      </c>
      <c r="C28" s="3">
        <f t="shared" si="4"/>
        <v>5.5</v>
      </c>
      <c r="D28" s="3">
        <f t="shared" ref="D28:D40" si="8">(C28/5)*8</f>
        <v>8.8000000000000007</v>
      </c>
      <c r="E28" s="7">
        <f t="shared" si="5"/>
        <v>10.6</v>
      </c>
      <c r="F28" s="7">
        <f>SUM(D25:D27,D28)</f>
        <v>18.399999999999999</v>
      </c>
      <c r="G28" s="5">
        <f t="shared" si="6"/>
        <v>10.6</v>
      </c>
      <c r="H28" s="5">
        <f t="shared" si="7"/>
        <v>20.399999999999999</v>
      </c>
    </row>
    <row r="29" spans="1:9" x14ac:dyDescent="0.35">
      <c r="A29" s="6" t="s">
        <v>16</v>
      </c>
      <c r="B29" s="3">
        <v>15</v>
      </c>
      <c r="C29" s="3">
        <f t="shared" si="4"/>
        <v>3.5</v>
      </c>
      <c r="D29" s="3">
        <f t="shared" si="8"/>
        <v>5.6</v>
      </c>
      <c r="E29" s="7">
        <f t="shared" si="5"/>
        <v>19.399999999999999</v>
      </c>
      <c r="F29" s="7">
        <f>SUM(D25:D28,D29)</f>
        <v>24</v>
      </c>
      <c r="G29" s="5">
        <f t="shared" si="6"/>
        <v>19.399999999999999</v>
      </c>
      <c r="H29" s="5">
        <f t="shared" si="7"/>
        <v>26</v>
      </c>
    </row>
    <row r="30" spans="1:9" x14ac:dyDescent="0.35">
      <c r="A30" s="6" t="s">
        <v>17</v>
      </c>
      <c r="B30" s="3">
        <v>19</v>
      </c>
      <c r="C30" s="3">
        <f t="shared" si="4"/>
        <v>4</v>
      </c>
      <c r="D30" s="3">
        <f t="shared" si="8"/>
        <v>6.4</v>
      </c>
      <c r="E30" s="7">
        <f t="shared" si="5"/>
        <v>25</v>
      </c>
      <c r="F30" s="7">
        <f>SUM(D25:D29,D30)</f>
        <v>30.4</v>
      </c>
      <c r="G30" s="5">
        <f t="shared" si="6"/>
        <v>25</v>
      </c>
      <c r="H30" s="5">
        <f t="shared" si="7"/>
        <v>32.4</v>
      </c>
    </row>
    <row r="31" spans="1:9" x14ac:dyDescent="0.35">
      <c r="A31" s="6" t="s">
        <v>25</v>
      </c>
      <c r="B31" s="3">
        <v>24</v>
      </c>
      <c r="C31" s="3">
        <f t="shared" si="4"/>
        <v>5</v>
      </c>
      <c r="D31" s="3">
        <f t="shared" si="8"/>
        <v>8</v>
      </c>
      <c r="E31" s="7">
        <f t="shared" si="5"/>
        <v>31.4</v>
      </c>
      <c r="F31" s="7">
        <f>SUM(D25:D30,D31)</f>
        <v>38.4</v>
      </c>
      <c r="G31" s="5">
        <f t="shared" si="6"/>
        <v>31.4</v>
      </c>
      <c r="H31" s="5">
        <f t="shared" si="7"/>
        <v>40.4</v>
      </c>
    </row>
    <row r="32" spans="1:9" x14ac:dyDescent="0.35">
      <c r="A32" s="6" t="s">
        <v>26</v>
      </c>
      <c r="B32" s="3">
        <v>29</v>
      </c>
      <c r="C32" s="3">
        <f t="shared" si="4"/>
        <v>5</v>
      </c>
      <c r="D32" s="3">
        <f t="shared" si="8"/>
        <v>8</v>
      </c>
      <c r="E32" s="7">
        <f t="shared" si="5"/>
        <v>39.4</v>
      </c>
      <c r="F32" s="7">
        <f>SUM(D25:D31,D32)</f>
        <v>46.4</v>
      </c>
      <c r="G32" s="5">
        <f t="shared" si="6"/>
        <v>39.4</v>
      </c>
      <c r="H32" s="5">
        <f t="shared" si="7"/>
        <v>48.4</v>
      </c>
    </row>
    <row r="33" spans="1:9" x14ac:dyDescent="0.35">
      <c r="A33" s="6" t="s">
        <v>27</v>
      </c>
      <c r="B33" s="3">
        <v>36.5</v>
      </c>
      <c r="C33" s="3">
        <f t="shared" si="4"/>
        <v>7.5</v>
      </c>
      <c r="D33" s="3">
        <f t="shared" si="8"/>
        <v>12</v>
      </c>
      <c r="E33" s="7">
        <f t="shared" si="5"/>
        <v>47.4</v>
      </c>
      <c r="F33" s="7">
        <f t="shared" ref="F33" si="9">SUM(D26:D32,D33)</f>
        <v>58.4</v>
      </c>
      <c r="G33" s="5">
        <f t="shared" si="6"/>
        <v>47.4</v>
      </c>
      <c r="H33" s="5">
        <f t="shared" si="7"/>
        <v>60.4</v>
      </c>
    </row>
    <row r="34" spans="1:9" x14ac:dyDescent="0.35">
      <c r="A34" s="6" t="s">
        <v>37</v>
      </c>
      <c r="B34" s="3">
        <v>41.5</v>
      </c>
      <c r="C34" s="3">
        <f t="shared" si="4"/>
        <v>5</v>
      </c>
      <c r="D34" s="3">
        <f t="shared" si="8"/>
        <v>8</v>
      </c>
      <c r="E34" s="7">
        <f t="shared" si="5"/>
        <v>59.4</v>
      </c>
      <c r="F34" s="7">
        <f>SUM(D26:D33,D34)</f>
        <v>66.400000000000006</v>
      </c>
      <c r="G34" s="5">
        <f t="shared" si="6"/>
        <v>59.4</v>
      </c>
      <c r="H34" s="5">
        <f t="shared" si="7"/>
        <v>68.400000000000006</v>
      </c>
    </row>
    <row r="35" spans="1:9" x14ac:dyDescent="0.35">
      <c r="A35" s="6" t="s">
        <v>38</v>
      </c>
      <c r="B35" s="3">
        <v>46</v>
      </c>
      <c r="C35" s="3">
        <f t="shared" si="4"/>
        <v>4.5</v>
      </c>
      <c r="D35" s="3">
        <f t="shared" si="8"/>
        <v>7.2</v>
      </c>
      <c r="E35" s="7">
        <f t="shared" si="5"/>
        <v>67.400000000000006</v>
      </c>
      <c r="F35" s="7">
        <f>SUM(D26:D34,D35)</f>
        <v>73.600000000000009</v>
      </c>
      <c r="G35" s="5">
        <f t="shared" si="6"/>
        <v>67.400000000000006</v>
      </c>
      <c r="H35" s="5">
        <f t="shared" si="7"/>
        <v>75.600000000000009</v>
      </c>
    </row>
    <row r="36" spans="1:9" x14ac:dyDescent="0.35">
      <c r="A36" s="6" t="s">
        <v>39</v>
      </c>
      <c r="B36" s="3">
        <v>57</v>
      </c>
      <c r="C36" s="3">
        <f t="shared" si="4"/>
        <v>11</v>
      </c>
      <c r="D36" s="3">
        <f t="shared" si="8"/>
        <v>17.600000000000001</v>
      </c>
      <c r="E36" s="7">
        <f t="shared" si="5"/>
        <v>74.600000000000009</v>
      </c>
      <c r="F36" s="7">
        <f>SUM(D26:D35,D36)</f>
        <v>91.200000000000017</v>
      </c>
      <c r="G36" s="5">
        <f t="shared" si="6"/>
        <v>74.600000000000009</v>
      </c>
      <c r="H36" s="5">
        <f t="shared" si="7"/>
        <v>93.200000000000017</v>
      </c>
    </row>
    <row r="37" spans="1:9" x14ac:dyDescent="0.35">
      <c r="A37" s="6" t="s">
        <v>40</v>
      </c>
      <c r="B37" s="3">
        <v>65</v>
      </c>
      <c r="C37" s="3">
        <f t="shared" si="4"/>
        <v>8</v>
      </c>
      <c r="D37" s="3">
        <f t="shared" si="8"/>
        <v>12.8</v>
      </c>
      <c r="E37" s="7">
        <f t="shared" si="5"/>
        <v>92.200000000000017</v>
      </c>
      <c r="F37" s="7">
        <f>SUM(D26:D36,D37)</f>
        <v>104.00000000000001</v>
      </c>
      <c r="G37" s="5">
        <f t="shared" si="6"/>
        <v>92.200000000000017</v>
      </c>
      <c r="H37" s="5">
        <f t="shared" si="7"/>
        <v>106.00000000000001</v>
      </c>
    </row>
    <row r="38" spans="1:9" x14ac:dyDescent="0.35">
      <c r="A38" s="6" t="s">
        <v>41</v>
      </c>
      <c r="B38" s="3">
        <v>76</v>
      </c>
      <c r="C38" s="3">
        <f t="shared" si="4"/>
        <v>11</v>
      </c>
      <c r="D38" s="3">
        <f t="shared" si="8"/>
        <v>17.600000000000001</v>
      </c>
      <c r="E38" s="7">
        <f t="shared" si="5"/>
        <v>105.00000000000001</v>
      </c>
      <c r="F38" s="7">
        <f>SUM(D26:D37,D38)</f>
        <v>121.60000000000002</v>
      </c>
      <c r="G38" s="5">
        <f t="shared" si="6"/>
        <v>105.00000000000001</v>
      </c>
      <c r="H38" s="5">
        <f t="shared" si="7"/>
        <v>123.60000000000002</v>
      </c>
    </row>
    <row r="39" spans="1:9" x14ac:dyDescent="0.35">
      <c r="A39" s="6" t="s">
        <v>42</v>
      </c>
      <c r="B39" s="3">
        <v>85</v>
      </c>
      <c r="C39" s="3">
        <f t="shared" si="4"/>
        <v>9</v>
      </c>
      <c r="D39" s="3">
        <f t="shared" si="8"/>
        <v>14.4</v>
      </c>
      <c r="E39" s="7">
        <f t="shared" si="5"/>
        <v>122.60000000000002</v>
      </c>
      <c r="F39" s="7">
        <f>SUM(D26:D38,D39)</f>
        <v>136.00000000000003</v>
      </c>
      <c r="G39" s="5">
        <f t="shared" si="6"/>
        <v>122.60000000000002</v>
      </c>
      <c r="H39" s="5">
        <f t="shared" si="7"/>
        <v>138.00000000000003</v>
      </c>
    </row>
    <row r="40" spans="1:9" x14ac:dyDescent="0.35">
      <c r="A40" s="6" t="s">
        <v>13</v>
      </c>
      <c r="B40" s="3">
        <v>88.5</v>
      </c>
      <c r="C40" s="3">
        <f t="shared" si="4"/>
        <v>3.5</v>
      </c>
      <c r="D40" s="3">
        <f t="shared" si="8"/>
        <v>5.6</v>
      </c>
      <c r="E40" s="7">
        <f t="shared" si="5"/>
        <v>137.00000000000003</v>
      </c>
      <c r="F40" s="7">
        <f>SUM(D26:D39,D40)</f>
        <v>141.60000000000002</v>
      </c>
      <c r="G40" s="5">
        <f t="shared" si="6"/>
        <v>137.00000000000003</v>
      </c>
      <c r="H40" s="5">
        <v>142</v>
      </c>
    </row>
    <row r="41" spans="1:9" x14ac:dyDescent="0.35">
      <c r="A41" s="6"/>
      <c r="B41" s="3"/>
      <c r="C41" s="3"/>
      <c r="D41" s="3"/>
      <c r="E41" s="7"/>
      <c r="F41" s="7"/>
    </row>
    <row r="42" spans="1:9" x14ac:dyDescent="0.35">
      <c r="A42" s="6"/>
      <c r="B42" s="3"/>
      <c r="C42" s="3"/>
      <c r="D42" s="3"/>
      <c r="E42" s="7"/>
      <c r="F42" s="7"/>
    </row>
    <row r="43" spans="1:9" x14ac:dyDescent="0.35">
      <c r="A43" s="12" t="s">
        <v>48</v>
      </c>
      <c r="B43" s="12"/>
      <c r="C43" s="12"/>
      <c r="D43" s="12"/>
      <c r="E43" s="12"/>
      <c r="F43" s="12"/>
    </row>
    <row r="44" spans="1:9" x14ac:dyDescent="0.35">
      <c r="A44" s="6" t="s">
        <v>11</v>
      </c>
      <c r="B44" s="3">
        <v>0</v>
      </c>
      <c r="C44" s="3">
        <f>B44</f>
        <v>0</v>
      </c>
      <c r="D44" s="3">
        <v>0</v>
      </c>
      <c r="E44" s="3">
        <v>0</v>
      </c>
      <c r="F44" s="7">
        <v>0</v>
      </c>
      <c r="G44" s="3">
        <v>0</v>
      </c>
      <c r="H44" s="3">
        <v>0</v>
      </c>
      <c r="I44" s="3">
        <v>-2</v>
      </c>
    </row>
    <row r="45" spans="1:9" x14ac:dyDescent="0.35">
      <c r="A45" s="6" t="s">
        <v>12</v>
      </c>
      <c r="B45" s="3">
        <v>1.5</v>
      </c>
      <c r="C45" s="3">
        <f>B45-B44</f>
        <v>1.5</v>
      </c>
      <c r="D45" s="3">
        <f>(C45/5)*8</f>
        <v>2.4</v>
      </c>
      <c r="E45" s="7">
        <f>F44+1</f>
        <v>1</v>
      </c>
      <c r="F45" s="7">
        <f>SUM(D44,D45)</f>
        <v>2.4</v>
      </c>
      <c r="G45" s="5">
        <f>E45-2</f>
        <v>-1</v>
      </c>
      <c r="H45" s="5">
        <f>F45-2</f>
        <v>0.39999999999999991</v>
      </c>
    </row>
    <row r="46" spans="1:9" x14ac:dyDescent="0.35">
      <c r="A46" s="6" t="s">
        <v>14</v>
      </c>
      <c r="B46" s="3">
        <v>6</v>
      </c>
      <c r="C46" s="3">
        <f t="shared" ref="C46:C59" si="10">B46-B45</f>
        <v>4.5</v>
      </c>
      <c r="D46" s="3">
        <f>(C46/5)*8</f>
        <v>7.2</v>
      </c>
      <c r="E46" s="7">
        <f t="shared" ref="E46:E59" si="11">F45+1</f>
        <v>3.4</v>
      </c>
      <c r="F46" s="7">
        <f>SUM(D44:D45,D46)</f>
        <v>9.6</v>
      </c>
      <c r="G46" s="5">
        <f t="shared" ref="G46:G59" si="12">E46-2</f>
        <v>1.4</v>
      </c>
      <c r="H46" s="5">
        <f t="shared" ref="H46:H59" si="13">F46-2</f>
        <v>7.6</v>
      </c>
    </row>
    <row r="47" spans="1:9" x14ac:dyDescent="0.35">
      <c r="A47" s="6" t="s">
        <v>15</v>
      </c>
      <c r="B47" s="3">
        <v>11.5</v>
      </c>
      <c r="C47" s="3">
        <f t="shared" si="10"/>
        <v>5.5</v>
      </c>
      <c r="D47" s="3">
        <f t="shared" ref="D47:D59" si="14">(C47/5)*8</f>
        <v>8.8000000000000007</v>
      </c>
      <c r="E47" s="7">
        <f t="shared" si="11"/>
        <v>10.6</v>
      </c>
      <c r="F47" s="7">
        <f>SUM(D44:D46,D47)</f>
        <v>18.399999999999999</v>
      </c>
      <c r="G47" s="5">
        <f t="shared" si="12"/>
        <v>8.6</v>
      </c>
      <c r="H47" s="5">
        <f t="shared" si="13"/>
        <v>16.399999999999999</v>
      </c>
    </row>
    <row r="48" spans="1:9" x14ac:dyDescent="0.35">
      <c r="A48" s="6" t="s">
        <v>16</v>
      </c>
      <c r="B48" s="3">
        <v>15</v>
      </c>
      <c r="C48" s="3">
        <f t="shared" si="10"/>
        <v>3.5</v>
      </c>
      <c r="D48" s="3">
        <f t="shared" si="14"/>
        <v>5.6</v>
      </c>
      <c r="E48" s="7">
        <f t="shared" si="11"/>
        <v>19.399999999999999</v>
      </c>
      <c r="F48" s="7">
        <f>SUM(D44:D47,D48)</f>
        <v>24</v>
      </c>
      <c r="G48" s="5">
        <f t="shared" si="12"/>
        <v>17.399999999999999</v>
      </c>
      <c r="H48" s="5">
        <f t="shared" si="13"/>
        <v>22</v>
      </c>
    </row>
    <row r="49" spans="1:9" x14ac:dyDescent="0.35">
      <c r="A49" s="6" t="s">
        <v>17</v>
      </c>
      <c r="B49" s="3">
        <v>19</v>
      </c>
      <c r="C49" s="3">
        <f t="shared" si="10"/>
        <v>4</v>
      </c>
      <c r="D49" s="3">
        <f t="shared" si="14"/>
        <v>6.4</v>
      </c>
      <c r="E49" s="7">
        <f t="shared" si="11"/>
        <v>25</v>
      </c>
      <c r="F49" s="7">
        <f>SUM(D44:D48,D49)</f>
        <v>30.4</v>
      </c>
      <c r="G49" s="5">
        <f t="shared" si="12"/>
        <v>23</v>
      </c>
      <c r="H49" s="5">
        <f t="shared" si="13"/>
        <v>28.4</v>
      </c>
    </row>
    <row r="50" spans="1:9" x14ac:dyDescent="0.35">
      <c r="A50" s="6" t="s">
        <v>25</v>
      </c>
      <c r="B50" s="3">
        <v>24</v>
      </c>
      <c r="C50" s="3">
        <f t="shared" si="10"/>
        <v>5</v>
      </c>
      <c r="D50" s="3">
        <f t="shared" si="14"/>
        <v>8</v>
      </c>
      <c r="E50" s="7">
        <f t="shared" si="11"/>
        <v>31.4</v>
      </c>
      <c r="F50" s="7">
        <f>SUM(D44:D49,D50)</f>
        <v>38.4</v>
      </c>
      <c r="G50" s="5">
        <f t="shared" si="12"/>
        <v>29.4</v>
      </c>
      <c r="H50" s="5">
        <f t="shared" si="13"/>
        <v>36.4</v>
      </c>
    </row>
    <row r="51" spans="1:9" x14ac:dyDescent="0.35">
      <c r="A51" s="6" t="s">
        <v>26</v>
      </c>
      <c r="B51" s="3">
        <v>29</v>
      </c>
      <c r="C51" s="3">
        <f t="shared" si="10"/>
        <v>5</v>
      </c>
      <c r="D51" s="3">
        <f t="shared" si="14"/>
        <v>8</v>
      </c>
      <c r="E51" s="7">
        <f t="shared" si="11"/>
        <v>39.4</v>
      </c>
      <c r="F51" s="7">
        <f>SUM(D44:D50,D51)</f>
        <v>46.4</v>
      </c>
      <c r="G51" s="5">
        <f t="shared" si="12"/>
        <v>37.4</v>
      </c>
      <c r="H51" s="5">
        <f t="shared" si="13"/>
        <v>44.4</v>
      </c>
    </row>
    <row r="52" spans="1:9" x14ac:dyDescent="0.35">
      <c r="A52" s="6" t="s">
        <v>27</v>
      </c>
      <c r="B52" s="3">
        <v>36.5</v>
      </c>
      <c r="C52" s="3">
        <f t="shared" si="10"/>
        <v>7.5</v>
      </c>
      <c r="D52" s="3">
        <f t="shared" si="14"/>
        <v>12</v>
      </c>
      <c r="E52" s="7">
        <f t="shared" si="11"/>
        <v>47.4</v>
      </c>
      <c r="F52" s="7">
        <f t="shared" ref="F52" si="15">SUM(D45:D51,D52)</f>
        <v>58.4</v>
      </c>
      <c r="G52" s="5">
        <f t="shared" si="12"/>
        <v>45.4</v>
      </c>
      <c r="H52" s="5">
        <f t="shared" si="13"/>
        <v>56.4</v>
      </c>
    </row>
    <row r="53" spans="1:9" x14ac:dyDescent="0.35">
      <c r="A53" s="6" t="s">
        <v>37</v>
      </c>
      <c r="B53" s="3">
        <v>41.5</v>
      </c>
      <c r="C53" s="3">
        <f t="shared" si="10"/>
        <v>5</v>
      </c>
      <c r="D53" s="3">
        <f t="shared" si="14"/>
        <v>8</v>
      </c>
      <c r="E53" s="7">
        <f t="shared" si="11"/>
        <v>59.4</v>
      </c>
      <c r="F53" s="7">
        <f>SUM(D45:D52,D53)</f>
        <v>66.400000000000006</v>
      </c>
      <c r="G53" s="5">
        <f t="shared" si="12"/>
        <v>57.4</v>
      </c>
      <c r="H53" s="5">
        <f t="shared" si="13"/>
        <v>64.400000000000006</v>
      </c>
    </row>
    <row r="54" spans="1:9" x14ac:dyDescent="0.35">
      <c r="A54" s="6" t="s">
        <v>38</v>
      </c>
      <c r="B54" s="3">
        <v>46</v>
      </c>
      <c r="C54" s="3">
        <f t="shared" si="10"/>
        <v>4.5</v>
      </c>
      <c r="D54" s="3">
        <f t="shared" si="14"/>
        <v>7.2</v>
      </c>
      <c r="E54" s="7">
        <f t="shared" si="11"/>
        <v>67.400000000000006</v>
      </c>
      <c r="F54" s="7">
        <f>SUM(D45:D53,D54)</f>
        <v>73.600000000000009</v>
      </c>
      <c r="G54" s="5">
        <f t="shared" si="12"/>
        <v>65.400000000000006</v>
      </c>
      <c r="H54" s="5">
        <f t="shared" si="13"/>
        <v>71.600000000000009</v>
      </c>
    </row>
    <row r="55" spans="1:9" x14ac:dyDescent="0.35">
      <c r="A55" s="6" t="s">
        <v>39</v>
      </c>
      <c r="B55" s="3">
        <v>57</v>
      </c>
      <c r="C55" s="3">
        <f t="shared" si="10"/>
        <v>11</v>
      </c>
      <c r="D55" s="3">
        <f t="shared" si="14"/>
        <v>17.600000000000001</v>
      </c>
      <c r="E55" s="7">
        <f t="shared" si="11"/>
        <v>74.600000000000009</v>
      </c>
      <c r="F55" s="7">
        <f>SUM(D45:D54,D55)</f>
        <v>91.200000000000017</v>
      </c>
      <c r="G55" s="5">
        <f t="shared" si="12"/>
        <v>72.600000000000009</v>
      </c>
      <c r="H55" s="5">
        <f t="shared" si="13"/>
        <v>89.200000000000017</v>
      </c>
    </row>
    <row r="56" spans="1:9" x14ac:dyDescent="0.35">
      <c r="A56" s="6" t="s">
        <v>40</v>
      </c>
      <c r="B56" s="3">
        <v>65</v>
      </c>
      <c r="C56" s="3">
        <f t="shared" si="10"/>
        <v>8</v>
      </c>
      <c r="D56" s="3">
        <f t="shared" si="14"/>
        <v>12.8</v>
      </c>
      <c r="E56" s="7">
        <f t="shared" si="11"/>
        <v>92.200000000000017</v>
      </c>
      <c r="F56" s="7">
        <f>SUM(D45:D55,D56)</f>
        <v>104.00000000000001</v>
      </c>
      <c r="G56" s="5">
        <f t="shared" si="12"/>
        <v>90.200000000000017</v>
      </c>
      <c r="H56" s="5">
        <f t="shared" si="13"/>
        <v>102.00000000000001</v>
      </c>
    </row>
    <row r="57" spans="1:9" x14ac:dyDescent="0.35">
      <c r="A57" s="6" t="s">
        <v>41</v>
      </c>
      <c r="B57" s="3">
        <v>76</v>
      </c>
      <c r="C57" s="3">
        <f t="shared" si="10"/>
        <v>11</v>
      </c>
      <c r="D57" s="3">
        <f t="shared" si="14"/>
        <v>17.600000000000001</v>
      </c>
      <c r="E57" s="7">
        <f t="shared" si="11"/>
        <v>105.00000000000001</v>
      </c>
      <c r="F57" s="7">
        <f>SUM(D45:D56,D57)</f>
        <v>121.60000000000002</v>
      </c>
      <c r="G57" s="5">
        <f t="shared" si="12"/>
        <v>103.00000000000001</v>
      </c>
      <c r="H57" s="5">
        <f t="shared" si="13"/>
        <v>119.60000000000002</v>
      </c>
    </row>
    <row r="58" spans="1:9" x14ac:dyDescent="0.35">
      <c r="A58" s="6" t="s">
        <v>42</v>
      </c>
      <c r="B58" s="3">
        <v>85</v>
      </c>
      <c r="C58" s="3">
        <f t="shared" si="10"/>
        <v>9</v>
      </c>
      <c r="D58" s="3">
        <f t="shared" si="14"/>
        <v>14.4</v>
      </c>
      <c r="E58" s="7">
        <f t="shared" si="11"/>
        <v>122.60000000000002</v>
      </c>
      <c r="F58" s="7">
        <f>SUM(D45:D57,D58)</f>
        <v>136.00000000000003</v>
      </c>
      <c r="G58" s="5">
        <f t="shared" si="12"/>
        <v>120.60000000000002</v>
      </c>
      <c r="H58" s="5">
        <f t="shared" si="13"/>
        <v>134.00000000000003</v>
      </c>
    </row>
    <row r="59" spans="1:9" x14ac:dyDescent="0.35">
      <c r="A59" s="6" t="s">
        <v>13</v>
      </c>
      <c r="B59" s="3">
        <v>88.5</v>
      </c>
      <c r="C59" s="3">
        <f t="shared" si="10"/>
        <v>3.5</v>
      </c>
      <c r="D59" s="3">
        <f t="shared" si="14"/>
        <v>5.6</v>
      </c>
      <c r="E59" s="7">
        <f t="shared" si="11"/>
        <v>137.00000000000003</v>
      </c>
      <c r="F59" s="7">
        <f>SUM(D45:D58,D59)</f>
        <v>141.60000000000002</v>
      </c>
      <c r="G59" s="5">
        <f t="shared" si="12"/>
        <v>135.00000000000003</v>
      </c>
      <c r="H59" s="5">
        <f t="shared" si="13"/>
        <v>139.60000000000002</v>
      </c>
    </row>
    <row r="60" spans="1:9" x14ac:dyDescent="0.35">
      <c r="A60" s="6"/>
      <c r="B60" s="3"/>
      <c r="C60" s="3"/>
      <c r="D60" s="3"/>
      <c r="E60" s="7"/>
      <c r="F60" s="7"/>
    </row>
    <row r="61" spans="1:9" x14ac:dyDescent="0.35">
      <c r="F61" s="5"/>
    </row>
    <row r="62" spans="1:9" x14ac:dyDescent="0.35">
      <c r="A62" s="12" t="s">
        <v>45</v>
      </c>
      <c r="B62" s="12"/>
      <c r="C62" s="12"/>
      <c r="D62" s="12"/>
      <c r="E62" s="12"/>
      <c r="F62" s="12"/>
    </row>
    <row r="63" spans="1:9" x14ac:dyDescent="0.35">
      <c r="A63" s="6" t="s">
        <v>11</v>
      </c>
      <c r="B63" s="3">
        <v>0</v>
      </c>
      <c r="C63" s="3">
        <f>B63</f>
        <v>0</v>
      </c>
      <c r="D63" s="3">
        <v>0</v>
      </c>
      <c r="E63" s="3">
        <v>0</v>
      </c>
      <c r="F63" s="7">
        <v>0</v>
      </c>
      <c r="G63" s="3">
        <v>0</v>
      </c>
      <c r="H63" s="3">
        <v>0</v>
      </c>
      <c r="I63" s="3">
        <v>2</v>
      </c>
    </row>
    <row r="64" spans="1:9" x14ac:dyDescent="0.35">
      <c r="A64" s="6" t="s">
        <v>12</v>
      </c>
      <c r="B64" s="3">
        <v>1.5</v>
      </c>
      <c r="C64" s="3">
        <f>B64-B63</f>
        <v>1.5</v>
      </c>
      <c r="D64" s="3">
        <f>(C64/5)*8</f>
        <v>2.4</v>
      </c>
      <c r="E64" s="7">
        <f>F63+1</f>
        <v>1</v>
      </c>
      <c r="F64" s="7">
        <f>SUM(D63,D64)</f>
        <v>2.4</v>
      </c>
      <c r="G64" s="5">
        <f>E64+2</f>
        <v>3</v>
      </c>
      <c r="H64" s="5">
        <f>F64+2</f>
        <v>4.4000000000000004</v>
      </c>
    </row>
    <row r="65" spans="1:8" x14ac:dyDescent="0.35">
      <c r="A65" s="6" t="s">
        <v>14</v>
      </c>
      <c r="B65" s="3">
        <v>6</v>
      </c>
      <c r="C65" s="3">
        <f t="shared" ref="C65:C78" si="16">B65-B64</f>
        <v>4.5</v>
      </c>
      <c r="D65" s="3">
        <f>(C65/5)*8</f>
        <v>7.2</v>
      </c>
      <c r="E65" s="7">
        <f t="shared" ref="E65:E78" si="17">F64+1</f>
        <v>3.4</v>
      </c>
      <c r="F65" s="7">
        <f>SUM(D63:D64,D65)</f>
        <v>9.6</v>
      </c>
      <c r="G65" s="5">
        <f t="shared" ref="G65:G78" si="18">E65+2</f>
        <v>5.4</v>
      </c>
      <c r="H65" s="5">
        <f t="shared" ref="H65:H78" si="19">F65+2</f>
        <v>11.6</v>
      </c>
    </row>
    <row r="66" spans="1:8" x14ac:dyDescent="0.35">
      <c r="A66" s="6" t="s">
        <v>15</v>
      </c>
      <c r="B66" s="3">
        <v>11.5</v>
      </c>
      <c r="C66" s="3">
        <f t="shared" si="16"/>
        <v>5.5</v>
      </c>
      <c r="D66" s="3">
        <f t="shared" ref="D66:D78" si="20">(C66/5)*8</f>
        <v>8.8000000000000007</v>
      </c>
      <c r="E66" s="7">
        <f t="shared" si="17"/>
        <v>10.6</v>
      </c>
      <c r="F66" s="7">
        <f>SUM(D63:D65,D66)</f>
        <v>18.399999999999999</v>
      </c>
      <c r="G66" s="5">
        <f t="shared" si="18"/>
        <v>12.6</v>
      </c>
      <c r="H66" s="5">
        <f t="shared" si="19"/>
        <v>20.399999999999999</v>
      </c>
    </row>
    <row r="67" spans="1:8" x14ac:dyDescent="0.35">
      <c r="A67" s="6" t="s">
        <v>16</v>
      </c>
      <c r="B67" s="3">
        <v>15</v>
      </c>
      <c r="C67" s="3">
        <f t="shared" si="16"/>
        <v>3.5</v>
      </c>
      <c r="D67" s="3">
        <f t="shared" si="20"/>
        <v>5.6</v>
      </c>
      <c r="E67" s="7">
        <f t="shared" si="17"/>
        <v>19.399999999999999</v>
      </c>
      <c r="F67" s="7">
        <f>SUM(D63:D66,D67)</f>
        <v>24</v>
      </c>
      <c r="G67" s="5">
        <f t="shared" si="18"/>
        <v>21.4</v>
      </c>
      <c r="H67" s="5">
        <f t="shared" si="19"/>
        <v>26</v>
      </c>
    </row>
    <row r="68" spans="1:8" x14ac:dyDescent="0.35">
      <c r="A68" s="6" t="s">
        <v>17</v>
      </c>
      <c r="B68" s="3">
        <v>19</v>
      </c>
      <c r="C68" s="3">
        <f t="shared" si="16"/>
        <v>4</v>
      </c>
      <c r="D68" s="3">
        <f t="shared" si="20"/>
        <v>6.4</v>
      </c>
      <c r="E68" s="7">
        <f t="shared" si="17"/>
        <v>25</v>
      </c>
      <c r="F68" s="7">
        <f>SUM(D63:D67,D68)</f>
        <v>30.4</v>
      </c>
      <c r="G68" s="5">
        <f t="shared" si="18"/>
        <v>27</v>
      </c>
      <c r="H68" s="5">
        <f t="shared" si="19"/>
        <v>32.4</v>
      </c>
    </row>
    <row r="69" spans="1:8" x14ac:dyDescent="0.35">
      <c r="A69" s="6" t="s">
        <v>25</v>
      </c>
      <c r="B69" s="3">
        <v>24</v>
      </c>
      <c r="C69" s="3">
        <f t="shared" si="16"/>
        <v>5</v>
      </c>
      <c r="D69" s="3">
        <f t="shared" si="20"/>
        <v>8</v>
      </c>
      <c r="E69" s="7">
        <f t="shared" si="17"/>
        <v>31.4</v>
      </c>
      <c r="F69" s="7">
        <f>SUM(D63:D68,D69)</f>
        <v>38.4</v>
      </c>
      <c r="G69" s="5">
        <f t="shared" si="18"/>
        <v>33.4</v>
      </c>
      <c r="H69" s="5">
        <f t="shared" si="19"/>
        <v>40.4</v>
      </c>
    </row>
    <row r="70" spans="1:8" x14ac:dyDescent="0.35">
      <c r="A70" s="6" t="s">
        <v>26</v>
      </c>
      <c r="B70" s="3">
        <v>29</v>
      </c>
      <c r="C70" s="3">
        <f t="shared" si="16"/>
        <v>5</v>
      </c>
      <c r="D70" s="3">
        <f t="shared" si="20"/>
        <v>8</v>
      </c>
      <c r="E70" s="7">
        <f t="shared" si="17"/>
        <v>39.4</v>
      </c>
      <c r="F70" s="7">
        <f>SUM(D63:D69,D70)</f>
        <v>46.4</v>
      </c>
      <c r="G70" s="5">
        <f t="shared" si="18"/>
        <v>41.4</v>
      </c>
      <c r="H70" s="5">
        <f t="shared" si="19"/>
        <v>48.4</v>
      </c>
    </row>
    <row r="71" spans="1:8" x14ac:dyDescent="0.35">
      <c r="A71" s="6" t="s">
        <v>27</v>
      </c>
      <c r="B71" s="3">
        <v>36.5</v>
      </c>
      <c r="C71" s="3">
        <f t="shared" si="16"/>
        <v>7.5</v>
      </c>
      <c r="D71" s="3">
        <f t="shared" si="20"/>
        <v>12</v>
      </c>
      <c r="E71" s="7">
        <f t="shared" si="17"/>
        <v>47.4</v>
      </c>
      <c r="F71" s="7">
        <f t="shared" ref="F71" si="21">SUM(D64:D70,D71)</f>
        <v>58.4</v>
      </c>
      <c r="G71" s="5">
        <f t="shared" si="18"/>
        <v>49.4</v>
      </c>
      <c r="H71" s="5">
        <f t="shared" si="19"/>
        <v>60.4</v>
      </c>
    </row>
    <row r="72" spans="1:8" x14ac:dyDescent="0.35">
      <c r="A72" s="6" t="s">
        <v>37</v>
      </c>
      <c r="B72" s="3">
        <v>41.5</v>
      </c>
      <c r="C72" s="3">
        <f t="shared" si="16"/>
        <v>5</v>
      </c>
      <c r="D72" s="3">
        <f t="shared" si="20"/>
        <v>8</v>
      </c>
      <c r="E72" s="7">
        <f t="shared" si="17"/>
        <v>59.4</v>
      </c>
      <c r="F72" s="7">
        <f>SUM(D64:D71,D72)</f>
        <v>66.400000000000006</v>
      </c>
      <c r="G72" s="5">
        <f t="shared" si="18"/>
        <v>61.4</v>
      </c>
      <c r="H72" s="5">
        <f t="shared" si="19"/>
        <v>68.400000000000006</v>
      </c>
    </row>
    <row r="73" spans="1:8" x14ac:dyDescent="0.35">
      <c r="A73" s="6" t="s">
        <v>38</v>
      </c>
      <c r="B73" s="3">
        <v>46</v>
      </c>
      <c r="C73" s="3">
        <f t="shared" si="16"/>
        <v>4.5</v>
      </c>
      <c r="D73" s="3">
        <f t="shared" si="20"/>
        <v>7.2</v>
      </c>
      <c r="E73" s="7">
        <f t="shared" si="17"/>
        <v>67.400000000000006</v>
      </c>
      <c r="F73" s="7">
        <f>SUM(D64:D72,D73)</f>
        <v>73.600000000000009</v>
      </c>
      <c r="G73" s="5">
        <f t="shared" si="18"/>
        <v>69.400000000000006</v>
      </c>
      <c r="H73" s="5">
        <f t="shared" si="19"/>
        <v>75.600000000000009</v>
      </c>
    </row>
    <row r="74" spans="1:8" x14ac:dyDescent="0.35">
      <c r="A74" s="6" t="s">
        <v>39</v>
      </c>
      <c r="B74" s="3">
        <v>57</v>
      </c>
      <c r="C74" s="3">
        <f t="shared" si="16"/>
        <v>11</v>
      </c>
      <c r="D74" s="3">
        <f t="shared" si="20"/>
        <v>17.600000000000001</v>
      </c>
      <c r="E74" s="7">
        <f t="shared" si="17"/>
        <v>74.600000000000009</v>
      </c>
      <c r="F74" s="7">
        <f>SUM(D64:D73,D74)</f>
        <v>91.200000000000017</v>
      </c>
      <c r="G74" s="5">
        <f t="shared" si="18"/>
        <v>76.600000000000009</v>
      </c>
      <c r="H74" s="5">
        <f t="shared" si="19"/>
        <v>93.200000000000017</v>
      </c>
    </row>
    <row r="75" spans="1:8" x14ac:dyDescent="0.35">
      <c r="A75" s="6" t="s">
        <v>40</v>
      </c>
      <c r="B75" s="3">
        <v>65</v>
      </c>
      <c r="C75" s="3">
        <f t="shared" si="16"/>
        <v>8</v>
      </c>
      <c r="D75" s="3">
        <f t="shared" si="20"/>
        <v>12.8</v>
      </c>
      <c r="E75" s="7">
        <f t="shared" si="17"/>
        <v>92.200000000000017</v>
      </c>
      <c r="F75" s="7">
        <f>SUM(D64:D74,D75)</f>
        <v>104.00000000000001</v>
      </c>
      <c r="G75" s="5">
        <f t="shared" si="18"/>
        <v>94.200000000000017</v>
      </c>
      <c r="H75" s="5">
        <f t="shared" si="19"/>
        <v>106.00000000000001</v>
      </c>
    </row>
    <row r="76" spans="1:8" x14ac:dyDescent="0.35">
      <c r="A76" s="6" t="s">
        <v>41</v>
      </c>
      <c r="B76" s="3">
        <v>76</v>
      </c>
      <c r="C76" s="3">
        <f t="shared" si="16"/>
        <v>11</v>
      </c>
      <c r="D76" s="3">
        <f t="shared" si="20"/>
        <v>17.600000000000001</v>
      </c>
      <c r="E76" s="7">
        <f t="shared" si="17"/>
        <v>105.00000000000001</v>
      </c>
      <c r="F76" s="7">
        <f>SUM(D64:D75,D76)</f>
        <v>121.60000000000002</v>
      </c>
      <c r="G76" s="5">
        <f t="shared" si="18"/>
        <v>107.00000000000001</v>
      </c>
      <c r="H76" s="5">
        <f t="shared" si="19"/>
        <v>123.60000000000002</v>
      </c>
    </row>
    <row r="77" spans="1:8" x14ac:dyDescent="0.35">
      <c r="A77" s="6" t="s">
        <v>42</v>
      </c>
      <c r="B77" s="3">
        <v>85</v>
      </c>
      <c r="C77" s="3">
        <f t="shared" si="16"/>
        <v>9</v>
      </c>
      <c r="D77" s="3">
        <f t="shared" si="20"/>
        <v>14.4</v>
      </c>
      <c r="E77" s="7">
        <f t="shared" si="17"/>
        <v>122.60000000000002</v>
      </c>
      <c r="F77" s="7">
        <f>SUM(D64:D76,D77)</f>
        <v>136.00000000000003</v>
      </c>
      <c r="G77" s="5">
        <f t="shared" si="18"/>
        <v>124.60000000000002</v>
      </c>
      <c r="H77" s="5">
        <f t="shared" si="19"/>
        <v>138.00000000000003</v>
      </c>
    </row>
    <row r="78" spans="1:8" x14ac:dyDescent="0.35">
      <c r="A78" s="6" t="s">
        <v>13</v>
      </c>
      <c r="B78" s="3">
        <v>88.5</v>
      </c>
      <c r="C78" s="3">
        <f t="shared" si="16"/>
        <v>3.5</v>
      </c>
      <c r="D78" s="3">
        <f t="shared" si="20"/>
        <v>5.6</v>
      </c>
      <c r="E78" s="7">
        <f t="shared" si="17"/>
        <v>137.00000000000003</v>
      </c>
      <c r="F78" s="7">
        <f>SUM(D64:D77,D78)</f>
        <v>141.60000000000002</v>
      </c>
      <c r="G78" s="5">
        <f t="shared" si="18"/>
        <v>139.00000000000003</v>
      </c>
      <c r="H78" s="5">
        <v>142</v>
      </c>
    </row>
    <row r="79" spans="1:8" x14ac:dyDescent="0.35">
      <c r="F79" s="5"/>
    </row>
    <row r="80" spans="1:8" x14ac:dyDescent="0.35">
      <c r="F80" s="5"/>
    </row>
    <row r="81" spans="1:9" x14ac:dyDescent="0.35">
      <c r="A81" s="12" t="s">
        <v>46</v>
      </c>
      <c r="B81" s="12"/>
      <c r="C81" s="12"/>
      <c r="D81" s="12"/>
      <c r="E81" s="12"/>
      <c r="F81" s="12"/>
    </row>
    <row r="82" spans="1:9" x14ac:dyDescent="0.35">
      <c r="A82" s="6" t="s">
        <v>11</v>
      </c>
      <c r="B82" s="3">
        <v>0</v>
      </c>
      <c r="C82" s="3">
        <f>B82</f>
        <v>0</v>
      </c>
      <c r="D82" s="3">
        <v>0</v>
      </c>
      <c r="E82" s="3">
        <v>0</v>
      </c>
      <c r="F82" s="7">
        <v>0</v>
      </c>
      <c r="G82" s="3">
        <v>0</v>
      </c>
      <c r="H82" s="3">
        <v>0</v>
      </c>
      <c r="I82" s="3">
        <v>-2</v>
      </c>
    </row>
    <row r="83" spans="1:9" x14ac:dyDescent="0.35">
      <c r="A83" s="6" t="s">
        <v>12</v>
      </c>
      <c r="B83" s="3">
        <v>1.5</v>
      </c>
      <c r="C83" s="3">
        <f>B83-B82</f>
        <v>1.5</v>
      </c>
      <c r="D83" s="3">
        <f>(C83/5)*8</f>
        <v>2.4</v>
      </c>
      <c r="E83" s="7">
        <f>F82+1</f>
        <v>1</v>
      </c>
      <c r="F83" s="7">
        <f>SUM(D82,D83)</f>
        <v>2.4</v>
      </c>
      <c r="G83" s="5">
        <f>E83-2</f>
        <v>-1</v>
      </c>
      <c r="H83" s="5">
        <f>F83-2</f>
        <v>0.39999999999999991</v>
      </c>
    </row>
    <row r="84" spans="1:9" x14ac:dyDescent="0.35">
      <c r="A84" s="6" t="s">
        <v>14</v>
      </c>
      <c r="B84" s="3">
        <v>6</v>
      </c>
      <c r="C84" s="3">
        <f t="shared" ref="C84:C97" si="22">B84-B83</f>
        <v>4.5</v>
      </c>
      <c r="D84" s="3">
        <f>(C84/5)*8</f>
        <v>7.2</v>
      </c>
      <c r="E84" s="7">
        <f t="shared" ref="E84:E97" si="23">F83+1</f>
        <v>3.4</v>
      </c>
      <c r="F84" s="7">
        <f>SUM(D82:D83,D84)</f>
        <v>9.6</v>
      </c>
      <c r="G84" s="5">
        <f t="shared" ref="G84:G97" si="24">E84-2</f>
        <v>1.4</v>
      </c>
      <c r="H84" s="5">
        <f t="shared" ref="H84:H97" si="25">F84-2</f>
        <v>7.6</v>
      </c>
    </row>
    <row r="85" spans="1:9" x14ac:dyDescent="0.35">
      <c r="A85" s="6" t="s">
        <v>15</v>
      </c>
      <c r="B85" s="3">
        <v>11.5</v>
      </c>
      <c r="C85" s="3">
        <f t="shared" si="22"/>
        <v>5.5</v>
      </c>
      <c r="D85" s="3">
        <f t="shared" ref="D85:D97" si="26">(C85/5)*8</f>
        <v>8.8000000000000007</v>
      </c>
      <c r="E85" s="7">
        <f t="shared" si="23"/>
        <v>10.6</v>
      </c>
      <c r="F85" s="7">
        <f>SUM(D82:D84,D85)</f>
        <v>18.399999999999999</v>
      </c>
      <c r="G85" s="5">
        <f t="shared" si="24"/>
        <v>8.6</v>
      </c>
      <c r="H85" s="5">
        <f t="shared" si="25"/>
        <v>16.399999999999999</v>
      </c>
    </row>
    <row r="86" spans="1:9" x14ac:dyDescent="0.35">
      <c r="A86" s="6" t="s">
        <v>16</v>
      </c>
      <c r="B86" s="3">
        <v>15</v>
      </c>
      <c r="C86" s="3">
        <f t="shared" si="22"/>
        <v>3.5</v>
      </c>
      <c r="D86" s="3">
        <f t="shared" si="26"/>
        <v>5.6</v>
      </c>
      <c r="E86" s="7">
        <f t="shared" si="23"/>
        <v>19.399999999999999</v>
      </c>
      <c r="F86" s="7">
        <f>SUM(D82:D85,D86)</f>
        <v>24</v>
      </c>
      <c r="G86" s="5">
        <f t="shared" si="24"/>
        <v>17.399999999999999</v>
      </c>
      <c r="H86" s="5">
        <f t="shared" si="25"/>
        <v>22</v>
      </c>
    </row>
    <row r="87" spans="1:9" x14ac:dyDescent="0.35">
      <c r="A87" s="6" t="s">
        <v>17</v>
      </c>
      <c r="B87" s="3">
        <v>19</v>
      </c>
      <c r="C87" s="3">
        <f t="shared" si="22"/>
        <v>4</v>
      </c>
      <c r="D87" s="3">
        <f t="shared" si="26"/>
        <v>6.4</v>
      </c>
      <c r="E87" s="7">
        <f t="shared" si="23"/>
        <v>25</v>
      </c>
      <c r="F87" s="7">
        <f>SUM(D82:D86,D87)</f>
        <v>30.4</v>
      </c>
      <c r="G87" s="5">
        <f t="shared" si="24"/>
        <v>23</v>
      </c>
      <c r="H87" s="5">
        <f t="shared" si="25"/>
        <v>28.4</v>
      </c>
    </row>
    <row r="88" spans="1:9" x14ac:dyDescent="0.35">
      <c r="A88" s="6" t="s">
        <v>25</v>
      </c>
      <c r="B88" s="3">
        <v>24</v>
      </c>
      <c r="C88" s="3">
        <f t="shared" si="22"/>
        <v>5</v>
      </c>
      <c r="D88" s="3">
        <f t="shared" si="26"/>
        <v>8</v>
      </c>
      <c r="E88" s="7">
        <f t="shared" si="23"/>
        <v>31.4</v>
      </c>
      <c r="F88" s="7">
        <f>SUM(D82:D87,D88)</f>
        <v>38.4</v>
      </c>
      <c r="G88" s="5">
        <f t="shared" si="24"/>
        <v>29.4</v>
      </c>
      <c r="H88" s="5">
        <f t="shared" si="25"/>
        <v>36.4</v>
      </c>
    </row>
    <row r="89" spans="1:9" x14ac:dyDescent="0.35">
      <c r="A89" s="6" t="s">
        <v>26</v>
      </c>
      <c r="B89" s="3">
        <v>29</v>
      </c>
      <c r="C89" s="3">
        <f t="shared" si="22"/>
        <v>5</v>
      </c>
      <c r="D89" s="3">
        <f t="shared" si="26"/>
        <v>8</v>
      </c>
      <c r="E89" s="7">
        <f t="shared" si="23"/>
        <v>39.4</v>
      </c>
      <c r="F89" s="7">
        <f>SUM(D82:D88,D89)</f>
        <v>46.4</v>
      </c>
      <c r="G89" s="5">
        <f t="shared" si="24"/>
        <v>37.4</v>
      </c>
      <c r="H89" s="5">
        <f t="shared" si="25"/>
        <v>44.4</v>
      </c>
    </row>
    <row r="90" spans="1:9" x14ac:dyDescent="0.35">
      <c r="A90" s="6" t="s">
        <v>27</v>
      </c>
      <c r="B90" s="3">
        <v>36.5</v>
      </c>
      <c r="C90" s="3">
        <f t="shared" si="22"/>
        <v>7.5</v>
      </c>
      <c r="D90" s="3">
        <f t="shared" si="26"/>
        <v>12</v>
      </c>
      <c r="E90" s="7">
        <f t="shared" si="23"/>
        <v>47.4</v>
      </c>
      <c r="F90" s="7">
        <f t="shared" ref="F90" si="27">SUM(D83:D89,D90)</f>
        <v>58.4</v>
      </c>
      <c r="G90" s="5">
        <f t="shared" si="24"/>
        <v>45.4</v>
      </c>
      <c r="H90" s="5">
        <f t="shared" si="25"/>
        <v>56.4</v>
      </c>
    </row>
    <row r="91" spans="1:9" x14ac:dyDescent="0.35">
      <c r="A91" s="6" t="s">
        <v>37</v>
      </c>
      <c r="B91" s="3">
        <v>41.5</v>
      </c>
      <c r="C91" s="3">
        <f t="shared" si="22"/>
        <v>5</v>
      </c>
      <c r="D91" s="3">
        <f t="shared" si="26"/>
        <v>8</v>
      </c>
      <c r="E91" s="7">
        <f t="shared" si="23"/>
        <v>59.4</v>
      </c>
      <c r="F91" s="7">
        <f>SUM(D83:D90,D91)</f>
        <v>66.400000000000006</v>
      </c>
      <c r="G91" s="5">
        <f t="shared" si="24"/>
        <v>57.4</v>
      </c>
      <c r="H91" s="5">
        <f t="shared" si="25"/>
        <v>64.400000000000006</v>
      </c>
    </row>
    <row r="92" spans="1:9" x14ac:dyDescent="0.35">
      <c r="A92" s="6" t="s">
        <v>38</v>
      </c>
      <c r="B92" s="3">
        <v>46</v>
      </c>
      <c r="C92" s="3">
        <f t="shared" si="22"/>
        <v>4.5</v>
      </c>
      <c r="D92" s="3">
        <f t="shared" si="26"/>
        <v>7.2</v>
      </c>
      <c r="E92" s="7">
        <f t="shared" si="23"/>
        <v>67.400000000000006</v>
      </c>
      <c r="F92" s="7">
        <f>SUM(D83:D91,D92)</f>
        <v>73.600000000000009</v>
      </c>
      <c r="G92" s="5">
        <f t="shared" si="24"/>
        <v>65.400000000000006</v>
      </c>
      <c r="H92" s="5">
        <f t="shared" si="25"/>
        <v>71.600000000000009</v>
      </c>
    </row>
    <row r="93" spans="1:9" x14ac:dyDescent="0.35">
      <c r="A93" s="6" t="s">
        <v>39</v>
      </c>
      <c r="B93" s="3">
        <v>57</v>
      </c>
      <c r="C93" s="3">
        <f t="shared" si="22"/>
        <v>11</v>
      </c>
      <c r="D93" s="3">
        <f t="shared" si="26"/>
        <v>17.600000000000001</v>
      </c>
      <c r="E93" s="7">
        <f t="shared" si="23"/>
        <v>74.600000000000009</v>
      </c>
      <c r="F93" s="7">
        <f>SUM(D83:D92,D93)</f>
        <v>91.200000000000017</v>
      </c>
      <c r="G93" s="5">
        <f t="shared" si="24"/>
        <v>72.600000000000009</v>
      </c>
      <c r="H93" s="5">
        <f t="shared" si="25"/>
        <v>89.200000000000017</v>
      </c>
    </row>
    <row r="94" spans="1:9" x14ac:dyDescent="0.35">
      <c r="A94" s="6" t="s">
        <v>40</v>
      </c>
      <c r="B94" s="3">
        <v>65</v>
      </c>
      <c r="C94" s="3">
        <f t="shared" si="22"/>
        <v>8</v>
      </c>
      <c r="D94" s="3">
        <f t="shared" si="26"/>
        <v>12.8</v>
      </c>
      <c r="E94" s="7">
        <f t="shared" si="23"/>
        <v>92.200000000000017</v>
      </c>
      <c r="F94" s="7">
        <f>SUM(D83:D93,D94)</f>
        <v>104.00000000000001</v>
      </c>
      <c r="G94" s="5">
        <f t="shared" si="24"/>
        <v>90.200000000000017</v>
      </c>
      <c r="H94" s="5">
        <f t="shared" si="25"/>
        <v>102.00000000000001</v>
      </c>
    </row>
    <row r="95" spans="1:9" x14ac:dyDescent="0.35">
      <c r="A95" s="6" t="s">
        <v>41</v>
      </c>
      <c r="B95" s="3">
        <v>76</v>
      </c>
      <c r="C95" s="3">
        <f t="shared" si="22"/>
        <v>11</v>
      </c>
      <c r="D95" s="3">
        <f t="shared" si="26"/>
        <v>17.600000000000001</v>
      </c>
      <c r="E95" s="7">
        <f t="shared" si="23"/>
        <v>105.00000000000001</v>
      </c>
      <c r="F95" s="7">
        <f>SUM(D83:D94,D95)</f>
        <v>121.60000000000002</v>
      </c>
      <c r="G95" s="5">
        <f t="shared" si="24"/>
        <v>103.00000000000001</v>
      </c>
      <c r="H95" s="5">
        <f t="shared" si="25"/>
        <v>119.60000000000002</v>
      </c>
    </row>
    <row r="96" spans="1:9" x14ac:dyDescent="0.35">
      <c r="A96" s="6" t="s">
        <v>42</v>
      </c>
      <c r="B96" s="3">
        <v>85</v>
      </c>
      <c r="C96" s="3">
        <f t="shared" si="22"/>
        <v>9</v>
      </c>
      <c r="D96" s="3">
        <f t="shared" si="26"/>
        <v>14.4</v>
      </c>
      <c r="E96" s="7">
        <f t="shared" si="23"/>
        <v>122.60000000000002</v>
      </c>
      <c r="F96" s="7">
        <f>SUM(D83:D95,D96)</f>
        <v>136.00000000000003</v>
      </c>
      <c r="G96" s="5">
        <f t="shared" si="24"/>
        <v>120.60000000000002</v>
      </c>
      <c r="H96" s="5">
        <f t="shared" si="25"/>
        <v>134.00000000000003</v>
      </c>
    </row>
    <row r="97" spans="1:8" x14ac:dyDescent="0.35">
      <c r="A97" s="6" t="s">
        <v>13</v>
      </c>
      <c r="B97" s="3">
        <v>88.5</v>
      </c>
      <c r="C97" s="3">
        <f t="shared" si="22"/>
        <v>3.5</v>
      </c>
      <c r="D97" s="3">
        <f t="shared" si="26"/>
        <v>5.6</v>
      </c>
      <c r="E97" s="7">
        <f t="shared" si="23"/>
        <v>137.00000000000003</v>
      </c>
      <c r="F97" s="7">
        <f>SUM(D83:D96,D97)</f>
        <v>141.60000000000002</v>
      </c>
      <c r="G97" s="5">
        <f t="shared" si="24"/>
        <v>135.00000000000003</v>
      </c>
      <c r="H97" s="5">
        <f t="shared" si="25"/>
        <v>139.60000000000002</v>
      </c>
    </row>
    <row r="98" spans="1:8" x14ac:dyDescent="0.35">
      <c r="F98" s="5"/>
    </row>
    <row r="99" spans="1:8" x14ac:dyDescent="0.35">
      <c r="F99" s="5"/>
    </row>
    <row r="100" spans="1:8" x14ac:dyDescent="0.35">
      <c r="F100" s="5"/>
    </row>
    <row r="101" spans="1:8" x14ac:dyDescent="0.35">
      <c r="F101" s="5"/>
    </row>
    <row r="102" spans="1:8" x14ac:dyDescent="0.35">
      <c r="F102" s="5"/>
    </row>
    <row r="103" spans="1:8" x14ac:dyDescent="0.35">
      <c r="F103" s="5"/>
    </row>
    <row r="104" spans="1:8" x14ac:dyDescent="0.35">
      <c r="F104" s="5"/>
    </row>
    <row r="105" spans="1:8" x14ac:dyDescent="0.35">
      <c r="F105" s="5"/>
    </row>
    <row r="106" spans="1:8" x14ac:dyDescent="0.35">
      <c r="F106" s="5"/>
    </row>
    <row r="107" spans="1:8" x14ac:dyDescent="0.35">
      <c r="F107" s="5"/>
    </row>
    <row r="108" spans="1:8" x14ac:dyDescent="0.35">
      <c r="F108" s="5"/>
    </row>
    <row r="109" spans="1:8" x14ac:dyDescent="0.35">
      <c r="F109" s="5"/>
    </row>
    <row r="110" spans="1:8" x14ac:dyDescent="0.35">
      <c r="F110" s="5"/>
    </row>
    <row r="111" spans="1:8" x14ac:dyDescent="0.35">
      <c r="F111" s="5"/>
    </row>
    <row r="112" spans="1:8" x14ac:dyDescent="0.35">
      <c r="F112" s="5"/>
    </row>
    <row r="113" spans="6:6" x14ac:dyDescent="0.35">
      <c r="F113" s="5"/>
    </row>
    <row r="114" spans="6:6" x14ac:dyDescent="0.35">
      <c r="F114" s="5"/>
    </row>
    <row r="115" spans="6:6" x14ac:dyDescent="0.35">
      <c r="F115" s="5"/>
    </row>
    <row r="116" spans="6:6" x14ac:dyDescent="0.35">
      <c r="F116" s="5"/>
    </row>
    <row r="117" spans="6:6" x14ac:dyDescent="0.35">
      <c r="F117" s="5"/>
    </row>
    <row r="118" spans="6:6" x14ac:dyDescent="0.35">
      <c r="F118" s="5"/>
    </row>
    <row r="119" spans="6:6" x14ac:dyDescent="0.35">
      <c r="F119" s="5"/>
    </row>
    <row r="120" spans="6:6" x14ac:dyDescent="0.35">
      <c r="F120" s="5"/>
    </row>
    <row r="121" spans="6:6" x14ac:dyDescent="0.35">
      <c r="F121" s="5"/>
    </row>
    <row r="122" spans="6:6" x14ac:dyDescent="0.35">
      <c r="F122" s="5"/>
    </row>
    <row r="123" spans="6:6" x14ac:dyDescent="0.35">
      <c r="F123" s="5"/>
    </row>
    <row r="124" spans="6:6" x14ac:dyDescent="0.35">
      <c r="F124" s="5"/>
    </row>
    <row r="125" spans="6:6" x14ac:dyDescent="0.35">
      <c r="F125" s="5"/>
    </row>
    <row r="126" spans="6:6" x14ac:dyDescent="0.35">
      <c r="F126" s="5"/>
    </row>
    <row r="127" spans="6:6" x14ac:dyDescent="0.35">
      <c r="F127" s="5"/>
    </row>
    <row r="128" spans="6:6" x14ac:dyDescent="0.35">
      <c r="F128" s="5"/>
    </row>
    <row r="129" spans="6:6" x14ac:dyDescent="0.35">
      <c r="F129" s="5"/>
    </row>
    <row r="130" spans="6:6" x14ac:dyDescent="0.35">
      <c r="F130" s="5"/>
    </row>
    <row r="131" spans="6:6" x14ac:dyDescent="0.35">
      <c r="F131" s="5"/>
    </row>
    <row r="132" spans="6:6" x14ac:dyDescent="0.35">
      <c r="F132" s="5"/>
    </row>
    <row r="133" spans="6:6" x14ac:dyDescent="0.35">
      <c r="F133" s="5"/>
    </row>
    <row r="134" spans="6:6" x14ac:dyDescent="0.35">
      <c r="F134" s="5"/>
    </row>
    <row r="135" spans="6:6" x14ac:dyDescent="0.35">
      <c r="F135" s="5"/>
    </row>
    <row r="136" spans="6:6" x14ac:dyDescent="0.35">
      <c r="F136" s="5"/>
    </row>
    <row r="137" spans="6:6" x14ac:dyDescent="0.35">
      <c r="F137" s="5"/>
    </row>
    <row r="138" spans="6:6" x14ac:dyDescent="0.35">
      <c r="F138" s="5"/>
    </row>
    <row r="139" spans="6:6" x14ac:dyDescent="0.35">
      <c r="F139" s="5"/>
    </row>
    <row r="140" spans="6:6" x14ac:dyDescent="0.35">
      <c r="F140" s="5"/>
    </row>
    <row r="141" spans="6:6" x14ac:dyDescent="0.35">
      <c r="F141" s="5"/>
    </row>
    <row r="142" spans="6:6" x14ac:dyDescent="0.35">
      <c r="F142" s="5"/>
    </row>
    <row r="143" spans="6:6" x14ac:dyDescent="0.35">
      <c r="F143" s="5"/>
    </row>
    <row r="144" spans="6:6" x14ac:dyDescent="0.35">
      <c r="F144" s="5"/>
    </row>
    <row r="145" spans="6:6" x14ac:dyDescent="0.35">
      <c r="F145" s="5"/>
    </row>
    <row r="146" spans="6:6" x14ac:dyDescent="0.35">
      <c r="F146" s="5"/>
    </row>
    <row r="147" spans="6:6" x14ac:dyDescent="0.35">
      <c r="F147" s="5"/>
    </row>
    <row r="148" spans="6:6" x14ac:dyDescent="0.35">
      <c r="F148" s="5"/>
    </row>
    <row r="149" spans="6:6" x14ac:dyDescent="0.35">
      <c r="F149" s="5"/>
    </row>
    <row r="150" spans="6:6" x14ac:dyDescent="0.35">
      <c r="F150" s="5"/>
    </row>
    <row r="151" spans="6:6" x14ac:dyDescent="0.35">
      <c r="F151" s="5"/>
    </row>
    <row r="152" spans="6:6" x14ac:dyDescent="0.35">
      <c r="F152" s="5"/>
    </row>
    <row r="153" spans="6:6" x14ac:dyDescent="0.35">
      <c r="F153" s="5"/>
    </row>
    <row r="154" spans="6:6" x14ac:dyDescent="0.35">
      <c r="F154" s="5"/>
    </row>
    <row r="155" spans="6:6" x14ac:dyDescent="0.35">
      <c r="F155" s="5"/>
    </row>
    <row r="156" spans="6:6" x14ac:dyDescent="0.35">
      <c r="F156" s="5"/>
    </row>
    <row r="157" spans="6:6" x14ac:dyDescent="0.35">
      <c r="F157" s="5"/>
    </row>
    <row r="158" spans="6:6" x14ac:dyDescent="0.35">
      <c r="F158" s="5"/>
    </row>
  </sheetData>
  <mergeCells count="5">
    <mergeCell ref="A62:F62"/>
    <mergeCell ref="A81:F81"/>
    <mergeCell ref="A5:F5"/>
    <mergeCell ref="A24:F24"/>
    <mergeCell ref="A43:F43"/>
  </mergeCells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Model 1</vt:lpstr>
      <vt:lpstr>Model 2</vt:lpstr>
      <vt:lpstr>Model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Alamin</dc:creator>
  <cp:lastModifiedBy>Alamin</cp:lastModifiedBy>
  <dcterms:created xsi:type="dcterms:W3CDTF">2026-04-16T18:49:34Z</dcterms:created>
  <dcterms:modified xsi:type="dcterms:W3CDTF">2026-04-17T20:34:07Z</dcterms:modified>
</cp:coreProperties>
</file>