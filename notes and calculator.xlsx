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min\My Drive (alaminashik890.bd@gmail.com)\Skills and works\Componentkini.com\Projects\addressable led project for arch dept\"/>
    </mc:Choice>
  </mc:AlternateContent>
  <xr:revisionPtr revIDLastSave="0" documentId="13_ncr:1_{E2D69507-D6A6-47F0-8E58-A60BE15E38B2}" xr6:coauthVersionLast="47" xr6:coauthVersionMax="47" xr10:uidLastSave="{00000000-0000-0000-0000-000000000000}"/>
  <bookViews>
    <workbookView xWindow="-15615" yWindow="-2265" windowWidth="13695" windowHeight="13215" activeTab="1" xr2:uid="{10375E1D-6E0D-4936-8284-410CB98155D0}"/>
  </bookViews>
  <sheets>
    <sheet name="Sheet1" sheetId="1" r:id="rId1"/>
    <sheet name="Model 1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3" i="2" l="1"/>
  <c r="D24" i="2"/>
  <c r="D22" i="2"/>
  <c r="D13" i="2"/>
  <c r="D14" i="2"/>
  <c r="D15" i="2"/>
  <c r="D16" i="2"/>
  <c r="D17" i="2"/>
  <c r="D12" i="2"/>
  <c r="D7" i="2"/>
  <c r="D6" i="2"/>
  <c r="C33" i="2"/>
  <c r="D33" i="2" s="1"/>
  <c r="C32" i="2"/>
  <c r="D32" i="2" s="1"/>
  <c r="C31" i="2"/>
  <c r="D31" i="2" s="1"/>
  <c r="C30" i="2"/>
  <c r="D30" i="2" s="1"/>
  <c r="E29" i="2"/>
  <c r="C29" i="2"/>
  <c r="D29" i="2" s="1"/>
  <c r="C28" i="2"/>
  <c r="C7" i="2"/>
  <c r="E6" i="2"/>
  <c r="C6" i="2"/>
  <c r="C5" i="2"/>
  <c r="C24" i="2"/>
  <c r="C23" i="2"/>
  <c r="E22" i="2"/>
  <c r="C22" i="2"/>
  <c r="C21" i="2"/>
  <c r="E12" i="2"/>
  <c r="C13" i="2"/>
  <c r="C14" i="2"/>
  <c r="C15" i="2"/>
  <c r="C16" i="2"/>
  <c r="C17" i="2"/>
  <c r="C12" i="2"/>
  <c r="F12" i="2" s="1"/>
  <c r="E13" i="2" s="1"/>
  <c r="C11" i="2"/>
  <c r="F31" i="2" l="1"/>
  <c r="E32" i="2" s="1"/>
  <c r="F33" i="2"/>
  <c r="F32" i="2"/>
  <c r="E33" i="2" s="1"/>
  <c r="F30" i="2"/>
  <c r="E31" i="2" s="1"/>
  <c r="F29" i="2"/>
  <c r="E30" i="2" s="1"/>
  <c r="F17" i="2"/>
  <c r="F14" i="2"/>
  <c r="E15" i="2" s="1"/>
  <c r="F15" i="2"/>
  <c r="E16" i="2" s="1"/>
  <c r="F16" i="2"/>
  <c r="E17" i="2" s="1"/>
  <c r="F13" i="2"/>
  <c r="E14" i="2" s="1"/>
  <c r="F7" i="2"/>
  <c r="F6" i="2"/>
  <c r="E7" i="2" s="1"/>
  <c r="F24" i="2"/>
  <c r="F22" i="2"/>
  <c r="E23" i="2" s="1"/>
  <c r="F23" i="2"/>
  <c r="E24" i="2" s="1"/>
</calcChain>
</file>

<file path=xl/sharedStrings.xml><?xml version="1.0" encoding="utf-8"?>
<sst xmlns="http://schemas.openxmlformats.org/spreadsheetml/2006/main" count="36" uniqueCount="23">
  <si>
    <t>Addressable led calculator for project</t>
  </si>
  <si>
    <t>There are two types of LED strips for WS2812B:</t>
  </si>
  <si>
    <t>1. 30 leds/m</t>
  </si>
  <si>
    <t>2. 60 leds/m (has more dense LEDs)</t>
  </si>
  <si>
    <t>Model 1</t>
  </si>
  <si>
    <t>Strip name</t>
  </si>
  <si>
    <t>length</t>
  </si>
  <si>
    <t>cumulative length</t>
  </si>
  <si>
    <t>leds needed</t>
  </si>
  <si>
    <t>led address Lower bound</t>
  </si>
  <si>
    <t>led address upper bound</t>
  </si>
  <si>
    <t>Start</t>
  </si>
  <si>
    <t>Stop 1</t>
  </si>
  <si>
    <t>exit</t>
  </si>
  <si>
    <t>Stop 2</t>
  </si>
  <si>
    <t>Stop 3</t>
  </si>
  <si>
    <t>Stop 4</t>
  </si>
  <si>
    <t>Stop 5</t>
  </si>
  <si>
    <t>Green strip 1 (39.5" or 63.2leds)</t>
  </si>
  <si>
    <t>Red strip 1 (77.5" or 124 leds)</t>
  </si>
  <si>
    <t>Red strip 2 (38.5" or 61.6 leds)</t>
  </si>
  <si>
    <t>Blue strip 1 (66" or 105.6 leds)</t>
  </si>
  <si>
    <t>On a 5m roll, each 5 inch of strip contains 7 LEDs.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</si>
</sst>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" fontId="0" fillId="0" borderId="0" xfId="0" applyNumberFormat="1"/>
    <xf numFmtId="0" fontId="1" fillId="0" borderId="0" xfId="0" applyFont="1" applyAlignment="1">
      <alignment horizontal="left" vertical="top"/>
    </xf>
    <xf numFmtId="1" fontId="0" fillId="0" borderId="0" xfId="0" applyNumberFormat="1" applyAlignment="1">
      <alignment vertical="top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B47EA-5C89-4F37-BEB9-A34E96E5391C}">
  <dimension ref="A1:A7"/>
  <sheetViews>
    <sheetView workbookViewId="0">
      <selection activeCell="A8" sqref="A8"/>
    </sheetView>
  </sheetViews>
  <sheetFormatPr defaultRowHeight="14.5" x14ac:dyDescent="0.35"/>
  <sheetData>
    <row r="1" spans="1:1" x14ac:dyDescent="0.35">
      <c r="A1" t="s">
        <v>0</v>
      </c>
    </row>
    <row r="3" spans="1:1" x14ac:dyDescent="0.35">
      <c r="A3" t="s">
        <v>1</v>
      </c>
    </row>
    <row r="4" spans="1:1" x14ac:dyDescent="0.35">
      <c r="A4" t="s">
        <v>2</v>
      </c>
    </row>
    <row r="5" spans="1:1" x14ac:dyDescent="0.35">
      <c r="A5" t="s">
        <v>3</v>
      </c>
    </row>
    <row r="7" spans="1:1" x14ac:dyDescent="0.35">
      <c r="A7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DA184-DC02-4AD2-809F-9B3FE336D34F}">
  <dimension ref="A1:F143"/>
  <sheetViews>
    <sheetView tabSelected="1" workbookViewId="0">
      <selection activeCell="A4" sqref="A4:F4"/>
    </sheetView>
  </sheetViews>
  <sheetFormatPr defaultRowHeight="14.5" x14ac:dyDescent="0.35"/>
  <cols>
    <col min="1" max="1" width="10.08984375" customWidth="1"/>
    <col min="2" max="2" width="10.26953125" customWidth="1"/>
    <col min="3" max="3" width="7.08984375" customWidth="1"/>
    <col min="4" max="4" width="10.90625" customWidth="1"/>
    <col min="5" max="5" width="12.1796875" customWidth="1"/>
    <col min="6" max="6" width="12.6328125" customWidth="1"/>
  </cols>
  <sheetData>
    <row r="1" spans="1:6" x14ac:dyDescent="0.35">
      <c r="A1" s="1" t="s">
        <v>4</v>
      </c>
    </row>
    <row r="3" spans="1:6" s="5" customFormat="1" ht="28.5" customHeight="1" x14ac:dyDescent="0.35">
      <c r="A3" s="4" t="s">
        <v>5</v>
      </c>
      <c r="B3" s="4" t="s">
        <v>7</v>
      </c>
      <c r="C3" s="4" t="s">
        <v>6</v>
      </c>
      <c r="D3" s="4" t="s">
        <v>8</v>
      </c>
      <c r="E3" s="4" t="s">
        <v>9</v>
      </c>
      <c r="F3" s="4" t="s">
        <v>10</v>
      </c>
    </row>
    <row r="4" spans="1:6" x14ac:dyDescent="0.35">
      <c r="A4" s="9" t="s">
        <v>18</v>
      </c>
      <c r="B4" s="9"/>
      <c r="C4" s="9"/>
      <c r="D4" s="9"/>
      <c r="E4" s="9"/>
      <c r="F4" s="9"/>
    </row>
    <row r="5" spans="1:6" s="2" customFormat="1" x14ac:dyDescent="0.35">
      <c r="A5" s="7" t="s">
        <v>11</v>
      </c>
      <c r="B5" s="3">
        <v>0</v>
      </c>
      <c r="C5" s="3">
        <f>B5</f>
        <v>0</v>
      </c>
      <c r="D5" s="3">
        <v>0</v>
      </c>
      <c r="E5" s="3">
        <v>0</v>
      </c>
      <c r="F5" s="8">
        <v>0</v>
      </c>
    </row>
    <row r="6" spans="1:6" s="2" customFormat="1" x14ac:dyDescent="0.35">
      <c r="A6" s="7" t="s">
        <v>12</v>
      </c>
      <c r="B6" s="3">
        <v>32</v>
      </c>
      <c r="C6" s="3">
        <f>B6-B5</f>
        <v>32</v>
      </c>
      <c r="D6" s="3">
        <f>(C6/5)*7</f>
        <v>44.800000000000004</v>
      </c>
      <c r="E6" s="8">
        <f>F5+1</f>
        <v>1</v>
      </c>
      <c r="F6" s="8">
        <f>SUM(D5,D6)</f>
        <v>44.800000000000004</v>
      </c>
    </row>
    <row r="7" spans="1:6" x14ac:dyDescent="0.35">
      <c r="A7" s="7" t="s">
        <v>13</v>
      </c>
      <c r="B7" s="3">
        <v>39.5</v>
      </c>
      <c r="C7" s="3">
        <f t="shared" ref="C7" si="0">B7-B6</f>
        <v>7.5</v>
      </c>
      <c r="D7" s="3">
        <f>(C7/5)*7</f>
        <v>10.5</v>
      </c>
      <c r="E7" s="8">
        <f t="shared" ref="E7" si="1">F6+1</f>
        <v>45.800000000000004</v>
      </c>
      <c r="F7" s="8">
        <f>SUM(D5:D6,D7)</f>
        <v>55.300000000000004</v>
      </c>
    </row>
    <row r="8" spans="1:6" x14ac:dyDescent="0.35">
      <c r="A8" s="7"/>
      <c r="B8" s="3"/>
      <c r="C8" s="3"/>
      <c r="D8" s="3"/>
      <c r="E8" s="8"/>
      <c r="F8" s="8"/>
    </row>
    <row r="9" spans="1:6" x14ac:dyDescent="0.35">
      <c r="A9" s="7"/>
      <c r="B9" s="3"/>
      <c r="C9" s="3"/>
      <c r="D9" s="3"/>
      <c r="E9" s="8"/>
      <c r="F9" s="8"/>
    </row>
    <row r="10" spans="1:6" x14ac:dyDescent="0.35">
      <c r="A10" s="9" t="s">
        <v>19</v>
      </c>
      <c r="B10" s="9"/>
      <c r="C10" s="9"/>
      <c r="D10" s="9"/>
      <c r="E10" s="9"/>
      <c r="F10" s="9"/>
    </row>
    <row r="11" spans="1:6" x14ac:dyDescent="0.35">
      <c r="A11" s="7" t="s">
        <v>11</v>
      </c>
      <c r="B11" s="3">
        <v>0</v>
      </c>
      <c r="C11" s="3">
        <f>B11</f>
        <v>0</v>
      </c>
      <c r="D11" s="3">
        <v>0</v>
      </c>
      <c r="E11" s="3">
        <v>0</v>
      </c>
      <c r="F11" s="8">
        <v>0</v>
      </c>
    </row>
    <row r="12" spans="1:6" x14ac:dyDescent="0.35">
      <c r="A12" s="7" t="s">
        <v>12</v>
      </c>
      <c r="B12" s="3">
        <v>19.5</v>
      </c>
      <c r="C12" s="3">
        <f>B12-B11</f>
        <v>19.5</v>
      </c>
      <c r="D12" s="3">
        <f>(C12/5)*7</f>
        <v>27.3</v>
      </c>
      <c r="E12" s="8">
        <f>F11+1</f>
        <v>1</v>
      </c>
      <c r="F12" s="8">
        <f>SUM(D11,D12)</f>
        <v>27.3</v>
      </c>
    </row>
    <row r="13" spans="1:6" x14ac:dyDescent="0.35">
      <c r="A13" s="7" t="s">
        <v>14</v>
      </c>
      <c r="B13" s="3">
        <v>28.5</v>
      </c>
      <c r="C13" s="3">
        <f t="shared" ref="C13:C17" si="2">B13-B12</f>
        <v>9</v>
      </c>
      <c r="D13" s="3">
        <f t="shared" ref="D13:D17" si="3">(C13/5)*7</f>
        <v>12.6</v>
      </c>
      <c r="E13" s="8">
        <f t="shared" ref="E13:E17" si="4">F12+1</f>
        <v>28.3</v>
      </c>
      <c r="F13" s="8">
        <f>SUM(D11:D12,D13)</f>
        <v>39.9</v>
      </c>
    </row>
    <row r="14" spans="1:6" x14ac:dyDescent="0.35">
      <c r="A14" s="7" t="s">
        <v>15</v>
      </c>
      <c r="B14" s="3">
        <v>40</v>
      </c>
      <c r="C14" s="3">
        <f t="shared" si="2"/>
        <v>11.5</v>
      </c>
      <c r="D14" s="3">
        <f t="shared" si="3"/>
        <v>16.099999999999998</v>
      </c>
      <c r="E14" s="8">
        <f t="shared" si="4"/>
        <v>40.9</v>
      </c>
      <c r="F14" s="8">
        <f>SUM(D11:D13,D14)</f>
        <v>56</v>
      </c>
    </row>
    <row r="15" spans="1:6" x14ac:dyDescent="0.35">
      <c r="A15" s="7" t="s">
        <v>16</v>
      </c>
      <c r="B15" s="3">
        <v>48.5</v>
      </c>
      <c r="C15" s="3">
        <f t="shared" si="2"/>
        <v>8.5</v>
      </c>
      <c r="D15" s="3">
        <f t="shared" si="3"/>
        <v>11.9</v>
      </c>
      <c r="E15" s="8">
        <f t="shared" si="4"/>
        <v>57</v>
      </c>
      <c r="F15" s="8">
        <f>SUM(D11:D14,D15)</f>
        <v>67.900000000000006</v>
      </c>
    </row>
    <row r="16" spans="1:6" x14ac:dyDescent="0.35">
      <c r="A16" s="7" t="s">
        <v>17</v>
      </c>
      <c r="B16" s="3">
        <v>67.5</v>
      </c>
      <c r="C16" s="3">
        <f t="shared" si="2"/>
        <v>19</v>
      </c>
      <c r="D16" s="3">
        <f t="shared" si="3"/>
        <v>26.599999999999998</v>
      </c>
      <c r="E16" s="8">
        <f t="shared" si="4"/>
        <v>68.900000000000006</v>
      </c>
      <c r="F16" s="8">
        <f>SUM(D11:D15,D16)</f>
        <v>94.5</v>
      </c>
    </row>
    <row r="17" spans="1:6" x14ac:dyDescent="0.35">
      <c r="A17" s="7" t="s">
        <v>13</v>
      </c>
      <c r="B17" s="3">
        <v>77.5</v>
      </c>
      <c r="C17" s="3">
        <f t="shared" si="2"/>
        <v>10</v>
      </c>
      <c r="D17" s="3">
        <f t="shared" si="3"/>
        <v>14</v>
      </c>
      <c r="E17" s="8">
        <f t="shared" si="4"/>
        <v>95.5</v>
      </c>
      <c r="F17" s="8">
        <f>SUM(D11:D16,D17)</f>
        <v>108.5</v>
      </c>
    </row>
    <row r="18" spans="1:6" x14ac:dyDescent="0.35">
      <c r="A18" s="7"/>
      <c r="F18" s="6"/>
    </row>
    <row r="19" spans="1:6" x14ac:dyDescent="0.35">
      <c r="F19" s="6"/>
    </row>
    <row r="20" spans="1:6" x14ac:dyDescent="0.35">
      <c r="A20" s="9" t="s">
        <v>20</v>
      </c>
      <c r="B20" s="9"/>
      <c r="C20" s="9"/>
      <c r="D20" s="9"/>
      <c r="E20" s="9"/>
      <c r="F20" s="9"/>
    </row>
    <row r="21" spans="1:6" x14ac:dyDescent="0.35">
      <c r="A21" s="7" t="s">
        <v>11</v>
      </c>
      <c r="B21" s="3">
        <v>0</v>
      </c>
      <c r="C21" s="3">
        <f>B21</f>
        <v>0</v>
      </c>
      <c r="D21" s="3">
        <v>0</v>
      </c>
      <c r="E21" s="3">
        <v>0</v>
      </c>
      <c r="F21" s="8">
        <v>0</v>
      </c>
    </row>
    <row r="22" spans="1:6" x14ac:dyDescent="0.35">
      <c r="A22" s="7" t="s">
        <v>12</v>
      </c>
      <c r="B22" s="3">
        <v>9.5</v>
      </c>
      <c r="C22" s="3">
        <f>B22-B21</f>
        <v>9.5</v>
      </c>
      <c r="D22" s="3">
        <f>(C22/5)*7</f>
        <v>13.299999999999999</v>
      </c>
      <c r="E22" s="8">
        <f>F21+1</f>
        <v>1</v>
      </c>
      <c r="F22" s="8">
        <f>SUM(D21,D22)</f>
        <v>13.299999999999999</v>
      </c>
    </row>
    <row r="23" spans="1:6" x14ac:dyDescent="0.35">
      <c r="A23" s="7" t="s">
        <v>14</v>
      </c>
      <c r="B23" s="3">
        <v>19.5</v>
      </c>
      <c r="C23" s="3">
        <f t="shared" ref="C23:C24" si="5">B23-B22</f>
        <v>10</v>
      </c>
      <c r="D23" s="3">
        <f t="shared" ref="D23:D24" si="6">(C23/5)*7</f>
        <v>14</v>
      </c>
      <c r="E23" s="8">
        <f t="shared" ref="E23:E24" si="7">F22+1</f>
        <v>14.299999999999999</v>
      </c>
      <c r="F23" s="8">
        <f>SUM(D21:D22,D23)</f>
        <v>27.299999999999997</v>
      </c>
    </row>
    <row r="24" spans="1:6" x14ac:dyDescent="0.35">
      <c r="A24" s="7" t="s">
        <v>13</v>
      </c>
      <c r="B24" s="3">
        <v>38.5</v>
      </c>
      <c r="C24" s="3">
        <f t="shared" si="5"/>
        <v>19</v>
      </c>
      <c r="D24" s="3">
        <f t="shared" si="6"/>
        <v>26.599999999999998</v>
      </c>
      <c r="E24" s="8">
        <f t="shared" si="7"/>
        <v>28.299999999999997</v>
      </c>
      <c r="F24" s="8">
        <f>SUM(D21:D23,D24)</f>
        <v>53.899999999999991</v>
      </c>
    </row>
    <row r="25" spans="1:6" x14ac:dyDescent="0.35">
      <c r="A25" s="7"/>
      <c r="B25" s="3"/>
      <c r="C25" s="3"/>
      <c r="D25" s="3"/>
      <c r="E25" s="8"/>
      <c r="F25" s="8"/>
    </row>
    <row r="26" spans="1:6" x14ac:dyDescent="0.35">
      <c r="A26" s="7"/>
      <c r="B26" s="3"/>
      <c r="C26" s="3"/>
      <c r="D26" s="3"/>
      <c r="E26" s="8"/>
      <c r="F26" s="8"/>
    </row>
    <row r="27" spans="1:6" x14ac:dyDescent="0.35">
      <c r="A27" s="9" t="s">
        <v>21</v>
      </c>
      <c r="B27" s="9"/>
      <c r="C27" s="9"/>
      <c r="D27" s="9"/>
      <c r="E27" s="9"/>
      <c r="F27" s="9"/>
    </row>
    <row r="28" spans="1:6" x14ac:dyDescent="0.35">
      <c r="A28" s="7" t="s">
        <v>11</v>
      </c>
      <c r="B28" s="3">
        <v>0</v>
      </c>
      <c r="C28" s="3">
        <f>B28</f>
        <v>0</v>
      </c>
      <c r="D28" s="3">
        <v>0</v>
      </c>
      <c r="E28" s="3">
        <v>0</v>
      </c>
      <c r="F28" s="8">
        <v>0</v>
      </c>
    </row>
    <row r="29" spans="1:6" x14ac:dyDescent="0.35">
      <c r="A29" s="7" t="s">
        <v>12</v>
      </c>
      <c r="B29" s="3">
        <v>25</v>
      </c>
      <c r="C29" s="3">
        <f>B29-B28</f>
        <v>25</v>
      </c>
      <c r="D29" s="3">
        <f>(C29/5)*8</f>
        <v>40</v>
      </c>
      <c r="E29" s="8">
        <f>F28+1</f>
        <v>1</v>
      </c>
      <c r="F29" s="8">
        <f>SUM(D28,D29)</f>
        <v>40</v>
      </c>
    </row>
    <row r="30" spans="1:6" x14ac:dyDescent="0.35">
      <c r="A30" s="7" t="s">
        <v>14</v>
      </c>
      <c r="B30" s="3">
        <v>32.5</v>
      </c>
      <c r="C30" s="3">
        <f t="shared" ref="C30:C33" si="8">B30-B29</f>
        <v>7.5</v>
      </c>
      <c r="D30" s="3">
        <f t="shared" ref="D30:D33" si="9">(C30/5)*8</f>
        <v>12</v>
      </c>
      <c r="E30" s="8">
        <f t="shared" ref="E30:E33" si="10">F29+1</f>
        <v>41</v>
      </c>
      <c r="F30" s="8">
        <f>SUM(D28:D29,D30)</f>
        <v>52</v>
      </c>
    </row>
    <row r="31" spans="1:6" x14ac:dyDescent="0.35">
      <c r="A31" s="7" t="s">
        <v>15</v>
      </c>
      <c r="B31" s="3">
        <v>44</v>
      </c>
      <c r="C31" s="3">
        <f t="shared" si="8"/>
        <v>11.5</v>
      </c>
      <c r="D31" s="3">
        <f t="shared" si="9"/>
        <v>18.399999999999999</v>
      </c>
      <c r="E31" s="8">
        <f t="shared" si="10"/>
        <v>53</v>
      </c>
      <c r="F31" s="8">
        <f>SUM(D28:D30,D31)</f>
        <v>70.400000000000006</v>
      </c>
    </row>
    <row r="32" spans="1:6" x14ac:dyDescent="0.35">
      <c r="A32" s="7" t="s">
        <v>16</v>
      </c>
      <c r="B32" s="3">
        <v>55.5</v>
      </c>
      <c r="C32" s="3">
        <f t="shared" si="8"/>
        <v>11.5</v>
      </c>
      <c r="D32" s="3">
        <f t="shared" si="9"/>
        <v>18.399999999999999</v>
      </c>
      <c r="E32" s="8">
        <f t="shared" si="10"/>
        <v>71.400000000000006</v>
      </c>
      <c r="F32" s="8">
        <f>SUM(D28:D31,D32)</f>
        <v>88.800000000000011</v>
      </c>
    </row>
    <row r="33" spans="1:6" x14ac:dyDescent="0.35">
      <c r="A33" s="7" t="s">
        <v>13</v>
      </c>
      <c r="B33" s="3">
        <v>66</v>
      </c>
      <c r="C33" s="3">
        <f t="shared" si="8"/>
        <v>10.5</v>
      </c>
      <c r="D33" s="3">
        <f t="shared" si="9"/>
        <v>16.8</v>
      </c>
      <c r="E33" s="8">
        <f t="shared" si="10"/>
        <v>89.800000000000011</v>
      </c>
      <c r="F33" s="8">
        <f>SUM(D28:D32,D33)</f>
        <v>105.60000000000001</v>
      </c>
    </row>
    <row r="34" spans="1:6" x14ac:dyDescent="0.35">
      <c r="A34" s="7"/>
      <c r="F34" s="6"/>
    </row>
    <row r="35" spans="1:6" x14ac:dyDescent="0.35">
      <c r="F35" s="6"/>
    </row>
    <row r="36" spans="1:6" x14ac:dyDescent="0.35">
      <c r="F36" s="6"/>
    </row>
    <row r="37" spans="1:6" x14ac:dyDescent="0.35">
      <c r="F37" s="6"/>
    </row>
    <row r="38" spans="1:6" x14ac:dyDescent="0.35">
      <c r="F38" s="6"/>
    </row>
    <row r="39" spans="1:6" x14ac:dyDescent="0.35">
      <c r="F39" s="6"/>
    </row>
    <row r="40" spans="1:6" x14ac:dyDescent="0.35">
      <c r="F40" s="6"/>
    </row>
    <row r="41" spans="1:6" x14ac:dyDescent="0.35">
      <c r="F41" s="6"/>
    </row>
    <row r="42" spans="1:6" x14ac:dyDescent="0.35">
      <c r="F42" s="6"/>
    </row>
    <row r="43" spans="1:6" x14ac:dyDescent="0.35">
      <c r="F43" s="6"/>
    </row>
    <row r="44" spans="1:6" x14ac:dyDescent="0.35">
      <c r="F44" s="6"/>
    </row>
    <row r="45" spans="1:6" x14ac:dyDescent="0.35">
      <c r="F45" s="6"/>
    </row>
    <row r="46" spans="1:6" x14ac:dyDescent="0.35">
      <c r="F46" s="6"/>
    </row>
    <row r="47" spans="1:6" x14ac:dyDescent="0.35">
      <c r="F47" s="6"/>
    </row>
    <row r="48" spans="1:6" x14ac:dyDescent="0.35">
      <c r="F48" s="6"/>
    </row>
    <row r="49" spans="6:6" x14ac:dyDescent="0.35">
      <c r="F49" s="6"/>
    </row>
    <row r="50" spans="6:6" x14ac:dyDescent="0.35">
      <c r="F50" s="6"/>
    </row>
    <row r="51" spans="6:6" x14ac:dyDescent="0.35">
      <c r="F51" s="6"/>
    </row>
    <row r="52" spans="6:6" x14ac:dyDescent="0.35">
      <c r="F52" s="6"/>
    </row>
    <row r="53" spans="6:6" x14ac:dyDescent="0.35">
      <c r="F53" s="6"/>
    </row>
    <row r="54" spans="6:6" x14ac:dyDescent="0.35">
      <c r="F54" s="6"/>
    </row>
    <row r="55" spans="6:6" x14ac:dyDescent="0.35">
      <c r="F55" s="6"/>
    </row>
    <row r="56" spans="6:6" x14ac:dyDescent="0.35">
      <c r="F56" s="6"/>
    </row>
    <row r="57" spans="6:6" x14ac:dyDescent="0.35">
      <c r="F57" s="6"/>
    </row>
    <row r="58" spans="6:6" x14ac:dyDescent="0.35">
      <c r="F58" s="6"/>
    </row>
    <row r="59" spans="6:6" x14ac:dyDescent="0.35">
      <c r="F59" s="6"/>
    </row>
    <row r="60" spans="6:6" x14ac:dyDescent="0.35">
      <c r="F60" s="6"/>
    </row>
    <row r="61" spans="6:6" x14ac:dyDescent="0.35">
      <c r="F61" s="6"/>
    </row>
    <row r="62" spans="6:6" x14ac:dyDescent="0.35">
      <c r="F62" s="6"/>
    </row>
    <row r="63" spans="6:6" x14ac:dyDescent="0.35">
      <c r="F63" s="6"/>
    </row>
    <row r="64" spans="6:6" x14ac:dyDescent="0.35">
      <c r="F64" s="6"/>
    </row>
    <row r="65" spans="6:6" x14ac:dyDescent="0.35">
      <c r="F65" s="6"/>
    </row>
    <row r="66" spans="6:6" x14ac:dyDescent="0.35">
      <c r="F66" s="6"/>
    </row>
    <row r="67" spans="6:6" x14ac:dyDescent="0.35">
      <c r="F67" s="6"/>
    </row>
    <row r="68" spans="6:6" x14ac:dyDescent="0.35">
      <c r="F68" s="6"/>
    </row>
    <row r="69" spans="6:6" x14ac:dyDescent="0.35">
      <c r="F69" s="6"/>
    </row>
    <row r="70" spans="6:6" x14ac:dyDescent="0.35">
      <c r="F70" s="6"/>
    </row>
    <row r="71" spans="6:6" x14ac:dyDescent="0.35">
      <c r="F71" s="6"/>
    </row>
    <row r="72" spans="6:6" x14ac:dyDescent="0.35">
      <c r="F72" s="6"/>
    </row>
    <row r="73" spans="6:6" x14ac:dyDescent="0.35">
      <c r="F73" s="6"/>
    </row>
    <row r="74" spans="6:6" x14ac:dyDescent="0.35">
      <c r="F74" s="6"/>
    </row>
    <row r="75" spans="6:6" x14ac:dyDescent="0.35">
      <c r="F75" s="6"/>
    </row>
    <row r="76" spans="6:6" x14ac:dyDescent="0.35">
      <c r="F76" s="6"/>
    </row>
    <row r="77" spans="6:6" x14ac:dyDescent="0.35">
      <c r="F77" s="6"/>
    </row>
    <row r="78" spans="6:6" x14ac:dyDescent="0.35">
      <c r="F78" s="6"/>
    </row>
    <row r="79" spans="6:6" x14ac:dyDescent="0.35">
      <c r="F79" s="6"/>
    </row>
    <row r="80" spans="6:6" x14ac:dyDescent="0.35">
      <c r="F80" s="6"/>
    </row>
    <row r="81" spans="6:6" x14ac:dyDescent="0.35">
      <c r="F81" s="6"/>
    </row>
    <row r="82" spans="6:6" x14ac:dyDescent="0.35">
      <c r="F82" s="6"/>
    </row>
    <row r="83" spans="6:6" x14ac:dyDescent="0.35">
      <c r="F83" s="6"/>
    </row>
    <row r="84" spans="6:6" x14ac:dyDescent="0.35">
      <c r="F84" s="6"/>
    </row>
    <row r="85" spans="6:6" x14ac:dyDescent="0.35">
      <c r="F85" s="6"/>
    </row>
    <row r="86" spans="6:6" x14ac:dyDescent="0.35">
      <c r="F86" s="6"/>
    </row>
    <row r="87" spans="6:6" x14ac:dyDescent="0.35">
      <c r="F87" s="6"/>
    </row>
    <row r="88" spans="6:6" x14ac:dyDescent="0.35">
      <c r="F88" s="6"/>
    </row>
    <row r="89" spans="6:6" x14ac:dyDescent="0.35">
      <c r="F89" s="6"/>
    </row>
    <row r="90" spans="6:6" x14ac:dyDescent="0.35">
      <c r="F90" s="6"/>
    </row>
    <row r="91" spans="6:6" x14ac:dyDescent="0.35">
      <c r="F91" s="6"/>
    </row>
    <row r="92" spans="6:6" x14ac:dyDescent="0.35">
      <c r="F92" s="6"/>
    </row>
    <row r="93" spans="6:6" x14ac:dyDescent="0.35">
      <c r="F93" s="6"/>
    </row>
    <row r="94" spans="6:6" x14ac:dyDescent="0.35">
      <c r="F94" s="6"/>
    </row>
    <row r="95" spans="6:6" x14ac:dyDescent="0.35">
      <c r="F95" s="6"/>
    </row>
    <row r="96" spans="6:6" x14ac:dyDescent="0.35">
      <c r="F96" s="6"/>
    </row>
    <row r="97" spans="6:6" x14ac:dyDescent="0.35">
      <c r="F97" s="6"/>
    </row>
    <row r="98" spans="6:6" x14ac:dyDescent="0.35">
      <c r="F98" s="6"/>
    </row>
    <row r="99" spans="6:6" x14ac:dyDescent="0.35">
      <c r="F99" s="6"/>
    </row>
    <row r="100" spans="6:6" x14ac:dyDescent="0.35">
      <c r="F100" s="6"/>
    </row>
    <row r="101" spans="6:6" x14ac:dyDescent="0.35">
      <c r="F101" s="6"/>
    </row>
    <row r="102" spans="6:6" x14ac:dyDescent="0.35">
      <c r="F102" s="6"/>
    </row>
    <row r="103" spans="6:6" x14ac:dyDescent="0.35">
      <c r="F103" s="6"/>
    </row>
    <row r="104" spans="6:6" x14ac:dyDescent="0.35">
      <c r="F104" s="6"/>
    </row>
    <row r="105" spans="6:6" x14ac:dyDescent="0.35">
      <c r="F105" s="6"/>
    </row>
    <row r="106" spans="6:6" x14ac:dyDescent="0.35">
      <c r="F106" s="6"/>
    </row>
    <row r="107" spans="6:6" x14ac:dyDescent="0.35">
      <c r="F107" s="6"/>
    </row>
    <row r="108" spans="6:6" x14ac:dyDescent="0.35">
      <c r="F108" s="6"/>
    </row>
    <row r="109" spans="6:6" x14ac:dyDescent="0.35">
      <c r="F109" s="6"/>
    </row>
    <row r="110" spans="6:6" x14ac:dyDescent="0.35">
      <c r="F110" s="6"/>
    </row>
    <row r="111" spans="6:6" x14ac:dyDescent="0.35">
      <c r="F111" s="6"/>
    </row>
    <row r="112" spans="6:6" x14ac:dyDescent="0.35">
      <c r="F112" s="6"/>
    </row>
    <row r="113" spans="6:6" x14ac:dyDescent="0.35">
      <c r="F113" s="6"/>
    </row>
    <row r="114" spans="6:6" x14ac:dyDescent="0.35">
      <c r="F114" s="6"/>
    </row>
    <row r="115" spans="6:6" x14ac:dyDescent="0.35">
      <c r="F115" s="6"/>
    </row>
    <row r="116" spans="6:6" x14ac:dyDescent="0.35">
      <c r="F116" s="6"/>
    </row>
    <row r="117" spans="6:6" x14ac:dyDescent="0.35">
      <c r="F117" s="6"/>
    </row>
    <row r="118" spans="6:6" x14ac:dyDescent="0.35">
      <c r="F118" s="6"/>
    </row>
    <row r="119" spans="6:6" x14ac:dyDescent="0.35">
      <c r="F119" s="6"/>
    </row>
    <row r="120" spans="6:6" x14ac:dyDescent="0.35">
      <c r="F120" s="6"/>
    </row>
    <row r="121" spans="6:6" x14ac:dyDescent="0.35">
      <c r="F121" s="6"/>
    </row>
    <row r="122" spans="6:6" x14ac:dyDescent="0.35">
      <c r="F122" s="6"/>
    </row>
    <row r="123" spans="6:6" x14ac:dyDescent="0.35">
      <c r="F123" s="6"/>
    </row>
    <row r="124" spans="6:6" x14ac:dyDescent="0.35">
      <c r="F124" s="6"/>
    </row>
    <row r="125" spans="6:6" x14ac:dyDescent="0.35">
      <c r="F125" s="6"/>
    </row>
    <row r="126" spans="6:6" x14ac:dyDescent="0.35">
      <c r="F126" s="6"/>
    </row>
    <row r="127" spans="6:6" x14ac:dyDescent="0.35">
      <c r="F127" s="6"/>
    </row>
    <row r="128" spans="6:6" x14ac:dyDescent="0.35">
      <c r="F128" s="6"/>
    </row>
    <row r="129" spans="6:6" x14ac:dyDescent="0.35">
      <c r="F129" s="6"/>
    </row>
    <row r="130" spans="6:6" x14ac:dyDescent="0.35">
      <c r="F130" s="6"/>
    </row>
    <row r="131" spans="6:6" x14ac:dyDescent="0.35">
      <c r="F131" s="6"/>
    </row>
    <row r="132" spans="6:6" x14ac:dyDescent="0.35">
      <c r="F132" s="6"/>
    </row>
    <row r="133" spans="6:6" x14ac:dyDescent="0.35">
      <c r="F133" s="6"/>
    </row>
    <row r="134" spans="6:6" x14ac:dyDescent="0.35">
      <c r="F134" s="6"/>
    </row>
    <row r="135" spans="6:6" x14ac:dyDescent="0.35">
      <c r="F135" s="6"/>
    </row>
    <row r="136" spans="6:6" x14ac:dyDescent="0.35">
      <c r="F136" s="6"/>
    </row>
    <row r="137" spans="6:6" x14ac:dyDescent="0.35">
      <c r="F137" s="6"/>
    </row>
    <row r="138" spans="6:6" x14ac:dyDescent="0.35">
      <c r="F138" s="6"/>
    </row>
    <row r="139" spans="6:6" x14ac:dyDescent="0.35">
      <c r="F139" s="6"/>
    </row>
    <row r="140" spans="6:6" x14ac:dyDescent="0.35">
      <c r="F140" s="6"/>
    </row>
    <row r="141" spans="6:6" x14ac:dyDescent="0.35">
      <c r="F141" s="6"/>
    </row>
    <row r="142" spans="6:6" x14ac:dyDescent="0.35">
      <c r="F142" s="6"/>
    </row>
    <row r="143" spans="6:6" x14ac:dyDescent="0.35">
      <c r="F143" s="6"/>
    </row>
  </sheetData>
  <mergeCells count="4">
    <mergeCell ref="A4:F4"/>
    <mergeCell ref="A10:F10"/>
    <mergeCell ref="A20:F20"/>
    <mergeCell ref="A27:F27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Model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Alamin</dc:creator>
  <cp:lastModifiedBy>Alamin</cp:lastModifiedBy>
  <dcterms:created xsi:type="dcterms:W3CDTF">2026-04-16T18:49:34Z</dcterms:created>
  <dcterms:modified xsi:type="dcterms:W3CDTF">2026-04-17T02:12:46Z</dcterms:modified>
</cp:coreProperties>
</file>